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180"/>
  </bookViews>
  <sheets>
    <sheet name="Бүх машин" sheetId="1" r:id="rId1"/>
    <sheet name="Аваагүй машинууд" sheetId="2" r:id="rId2"/>
    <sheet name="Онцгой татвар" sheetId="3" r:id="rId3"/>
    <sheet name="Тайлбар" sheetId="4" r:id="rId4"/>
  </sheets>
  <definedNames>
    <definedName name="_xlnm._FilterDatabase" localSheetId="0" hidden="1">'Бүх машин'!$A$5:$AE$38</definedName>
    <definedName name="_xlnm._FilterDatabase" localSheetId="1" hidden="1">'Аваагүй машинууд'!$A$4:$T$25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<sst xmlns="http://schemas.openxmlformats.org/spreadsheetml/2006/main" count="563" uniqueCount="268">
  <si>
    <t>JP Auction → Монголд буух үнэ ба үнэлгээ</t>
  </si>
  <si>
    <t>Шинэчилсэн: 2026-10-06 · Загвар: model_2026-10-04_v6_2026fresh.json</t>
  </si>
  <si>
    <t>Иен ханш, ₮</t>
  </si>
  <si>
    <t>Машин бүрт нэмэх, ¥</t>
  </si>
  <si>
    <t>Ачилт тээвэр, ₮</t>
  </si>
  <si>
    <t>НӨАТ</t>
  </si>
  <si>
    <t>Насыг тооцох он</t>
  </si>
  <si>
    <t>← засаж болно (2026-10-06, Голомт банк, JPY бэлэн бус зарах ханш (ikon.mn/xrates))</t>
  </si>
  <si>
    <t>Шар нүдийг өөрчлөхөд бүх буух үнэ, ашиг дахин бодогдоно. 'Нэмэх, ¥ (гараар)' баганад машин тус бүрийн дүнг оруулж болно (хоосон бол дээрх үндсэн дүн).</t>
  </si>
  <si>
    <t>Хаагдах цаг</t>
  </si>
  <si>
    <t>Аукцион</t>
  </si>
  <si>
    <t>Лот</t>
  </si>
  <si>
    <t>Загвар</t>
  </si>
  <si>
    <t>Код</t>
  </si>
  <si>
    <t>Комплектац</t>
  </si>
  <si>
    <t>Он</t>
  </si>
  <si>
    <t>Гүйлт, км</t>
  </si>
  <si>
    <t>cc</t>
  </si>
  <si>
    <t>Төрөл</t>
  </si>
  <si>
    <t>Оноо</t>
  </si>
  <si>
    <t>Өнгө</t>
  </si>
  <si>
    <t>Төлөв</t>
  </si>
  <si>
    <t>Миний үнэ, ¥</t>
  </si>
  <si>
    <t>Эцсийн үнэ, ¥</t>
  </si>
  <si>
    <t>Нэмэх, ¥ (гараар)</t>
  </si>
  <si>
    <t>Нас</t>
  </si>
  <si>
    <t>Онцгой татвар, ₮</t>
  </si>
  <si>
    <t>Буух үнэ (миний үнээр), ₮</t>
  </si>
  <si>
    <t>Буух үнэ (эцсийн үнээр), ₮</t>
  </si>
  <si>
    <t>Монголд зарагдах үнэ (загвар), ₮</t>
  </si>
  <si>
    <t>Доод (25%), ₮</t>
  </si>
  <si>
    <t>Дээд (75%), ₮</t>
  </si>
  <si>
    <t>Ашиг (миний үнээр), ₮</t>
  </si>
  <si>
    <t>Ашгийн хувь</t>
  </si>
  <si>
    <t>Ашиг (эцсийн үнээр), ₮</t>
  </si>
  <si>
    <t>Загварын итгэл</t>
  </si>
  <si>
    <t>Загварт тооцсон шинж</t>
  </si>
  <si>
    <t>Нэмэгдсэн</t>
  </si>
  <si>
    <t>Тэмдэглэл</t>
  </si>
  <si>
    <t>Түлхүүр</t>
  </si>
  <si>
    <t>2026/10/07 14:06</t>
  </si>
  <si>
    <t>CAA Chubu</t>
  </si>
  <si>
    <t>11043</t>
  </si>
  <si>
    <t>Prius Alpha</t>
  </si>
  <si>
    <t>ZVW41W</t>
  </si>
  <si>
    <t>G TOURING SELECTION</t>
  </si>
  <si>
    <t>Хайбрид</t>
  </si>
  <si>
    <t>3.5</t>
  </si>
  <si>
    <t>мөнгөлөг</t>
  </si>
  <si>
    <t>Хүлээгдэж буй - тэргүүлж байна</t>
  </si>
  <si>
    <t>Найдвартай (47 зар)</t>
  </si>
  <si>
    <t>гүйлт 152k -0.1%, G Touring +3.2%, өнгө +7.1%, оноо 3.5 -1.2%</t>
  </si>
  <si>
    <t>2026-10-06</t>
  </si>
  <si>
    <t>CAA Chubu|11043|2026/10/07</t>
  </si>
  <si>
    <t>2026/10/07 14:00</t>
  </si>
  <si>
    <t/>
  </si>
  <si>
    <t>19698</t>
  </si>
  <si>
    <t>Camry</t>
  </si>
  <si>
    <t>AXVH70</t>
  </si>
  <si>
    <t>2WD</t>
  </si>
  <si>
    <t>Mileage</t>
  </si>
  <si>
    <t>Дунд (15 зар)</t>
  </si>
  <si>
    <t>гүйлт 133k +0.4%, тодорхойгүй +2.4%, өнгө +7.1%, оноо 3.5 -1.2%</t>
  </si>
  <si>
    <t>|19698|2026/10/07</t>
  </si>
  <si>
    <t>2026/10/07 13:44</t>
  </si>
  <si>
    <t>30653</t>
  </si>
  <si>
    <t>G</t>
  </si>
  <si>
    <t>R</t>
  </si>
  <si>
    <t>сувдан цагаан</t>
  </si>
  <si>
    <t>Найдвартай (40 зар)</t>
  </si>
  <si>
    <t>гүйлт 142k +0.2%, G +1.1%, өнгө +6.1%</t>
  </si>
  <si>
    <t>CAA Chubu|30653|2026/10/07</t>
  </si>
  <si>
    <t>2026/10/07 12:06</t>
  </si>
  <si>
    <t>30344</t>
  </si>
  <si>
    <t>улаан</t>
  </si>
  <si>
    <t>Өгөгдөл цөөн (8 зар)</t>
  </si>
  <si>
    <t>гүйлт 114k +1.0%, өнгө -1.1%</t>
  </si>
  <si>
    <t>CAA Chubu|30344|2026/10/07</t>
  </si>
  <si>
    <t>2026/10/07 11:10</t>
  </si>
  <si>
    <t>90315</t>
  </si>
  <si>
    <t>S TOURING SELECTION</t>
  </si>
  <si>
    <t>RA</t>
  </si>
  <si>
    <t>Хүлээгдэж буй - хоцорсон</t>
  </si>
  <si>
    <t>Дунд (18 зар)</t>
  </si>
  <si>
    <t>гүйлт 180k -0.7%, S Touring +4.0%, өнгө +7.1%</t>
  </si>
  <si>
    <t>CAA Chubu|90315|2026/10/07</t>
  </si>
  <si>
    <t>2026/10/07 10:19</t>
  </si>
  <si>
    <t>90061</t>
  </si>
  <si>
    <t>гүйлт 134k +0.4%, S Touring +4.0%, өнгө +6.1%</t>
  </si>
  <si>
    <t>CAA Chubu|90061|2026/10/07</t>
  </si>
  <si>
    <t>2026/10/07 10:01</t>
  </si>
  <si>
    <t>MIRIVE Saitama</t>
  </si>
  <si>
    <t>15144</t>
  </si>
  <si>
    <t>WS</t>
  </si>
  <si>
    <t>хар</t>
  </si>
  <si>
    <t>Өгөгдөл цөөн (5 зар)</t>
  </si>
  <si>
    <t>гүйлт 118k +1.7%, WS +10.9%</t>
  </si>
  <si>
    <t>MIRIVE Saitama|15144|2026/10/07</t>
  </si>
  <si>
    <t>2026/10/07 09:18</t>
  </si>
  <si>
    <t>10065</t>
  </si>
  <si>
    <t>гүйлт 159k -0.2%, G +1.1%, өнгө +6.1%, оноо 3.5 -1.2%</t>
  </si>
  <si>
    <t>CAA Chubu|10065|2026/10/07</t>
  </si>
  <si>
    <t>2026/10/07 09:11</t>
  </si>
  <si>
    <t>15027</t>
  </si>
  <si>
    <t>X</t>
  </si>
  <si>
    <t>4</t>
  </si>
  <si>
    <t>гүйлт 116k +0.7%, X -16.6%, өнгө -1.1%, оноо 4 +0.8%</t>
  </si>
  <si>
    <t>MIRIVE Saitama|15027|2026/10/07</t>
  </si>
  <si>
    <t>2026/10/07 09:01</t>
  </si>
  <si>
    <t>10005</t>
  </si>
  <si>
    <t>гүйлт 132k +0.4%, S Touring +4.0%, оноо 3.5 -1.2%</t>
  </si>
  <si>
    <t>CAA Chubu|10005|2026/10/07</t>
  </si>
  <si>
    <t>2026/10/06 12:38</t>
  </si>
  <si>
    <t>TAA Kinki</t>
  </si>
  <si>
    <t>70060</t>
  </si>
  <si>
    <t>Аваагүй (өөр хүнд)</t>
  </si>
  <si>
    <t>гүйлт 111k +0.7%, өнгө +6.1%, оноо 3.5 -1.2%</t>
  </si>
  <si>
    <t>2026-10-05</t>
  </si>
  <si>
    <t>TAA Kinki|70060|2026/10/06</t>
  </si>
  <si>
    <t>2026/10/06 12:21</t>
  </si>
  <si>
    <t>665</t>
  </si>
  <si>
    <t>саарал</t>
  </si>
  <si>
    <t>Дунд (17 зар)</t>
  </si>
  <si>
    <t>гүйлт 165k -0.5%, S Touring +4.0%, өнгө +1.8%, оноо 3.5 -1.2%</t>
  </si>
  <si>
    <t>TAA Kinki|665|2026/10/06</t>
  </si>
  <si>
    <t>2026/10/06 12:07</t>
  </si>
  <si>
    <t>620</t>
  </si>
  <si>
    <t>ZVW40W</t>
  </si>
  <si>
    <t>S TUNE BLACK</t>
  </si>
  <si>
    <t>7 суудал +3.6%, гүйлт 156k -0.2%, S Tune Black +0.8%</t>
  </si>
  <si>
    <t>TAA Kinki|620|2026/10/06</t>
  </si>
  <si>
    <t>2026/10/06 11:44</t>
  </si>
  <si>
    <t>TAA Kyushu</t>
  </si>
  <si>
    <t>9048</t>
  </si>
  <si>
    <t>7 суудал +3.6%, гүйлт 185k -0.8%, G +1.1%, өнгө +6.1%</t>
  </si>
  <si>
    <t>TAA Kyushu|9048|2026/10/06</t>
  </si>
  <si>
    <t>2026/10/06 11:00</t>
  </si>
  <si>
    <t>6130</t>
  </si>
  <si>
    <t>гүйлт 145k +0.2%, WS +10.9%, өнгө +6.1%, оноо 4 +0.8%</t>
  </si>
  <si>
    <t>TAA Kyushu|6130|2026/10/06</t>
  </si>
  <si>
    <t>2026/10/06 10:57</t>
  </si>
  <si>
    <t>387</t>
  </si>
  <si>
    <t>Prius</t>
  </si>
  <si>
    <t>ZVW51</t>
  </si>
  <si>
    <t>A</t>
  </si>
  <si>
    <t>Найдвартай (32 зар)</t>
  </si>
  <si>
    <t>ZVW51 +7.1%, гүйлт 136k +0.2%, A +4.0%, өнгө +7.1%</t>
  </si>
  <si>
    <t>TAA Kinki|387|2026/10/06</t>
  </si>
  <si>
    <t>2026/10/06 10:40</t>
  </si>
  <si>
    <t>CAA Gifu</t>
  </si>
  <si>
    <t>30167</t>
  </si>
  <si>
    <t>7 суудал +3.6%, G +1.1%, өнгө +6.1%, оноо 3.5 -1.2%</t>
  </si>
  <si>
    <t>CAA Gifu|30167|2026/10/06</t>
  </si>
  <si>
    <t>2026/10/06 10:19</t>
  </si>
  <si>
    <t>CAA Tokyo</t>
  </si>
  <si>
    <t>30044</t>
  </si>
  <si>
    <t>ZVW50</t>
  </si>
  <si>
    <t>Өгөгдөл цөөн (7 зар)</t>
  </si>
  <si>
    <t>гүйлт 205k -1.9%, S Touring +5.8%, өнгө +6.1%, оноо 3.5 -1.2%</t>
  </si>
  <si>
    <t>CAA Tokyo|30044|2026/10/06</t>
  </si>
  <si>
    <t>2026/10/06 10:11</t>
  </si>
  <si>
    <t>10318</t>
  </si>
  <si>
    <t>гүйлт 161k -0.3%, S Touring +4.0%, өнгө +6.1%, оноо 3.5 -1.2%</t>
  </si>
  <si>
    <t>CAA Tokyo|10318|2026/10/06</t>
  </si>
  <si>
    <t>2026/10/06 09:54</t>
  </si>
  <si>
    <t>180</t>
  </si>
  <si>
    <t>гүйлт 160k -0.3%, G +1.1%, өнгө +7.1%, оноо 3.5 -1.2%</t>
  </si>
  <si>
    <t>TAA Kinki|180|2026/10/06</t>
  </si>
  <si>
    <t>2026/10/06 09:50</t>
  </si>
  <si>
    <t>TAA Hiroshima</t>
  </si>
  <si>
    <t>174</t>
  </si>
  <si>
    <t>A PREMIUM</t>
  </si>
  <si>
    <t>цагаан</t>
  </si>
  <si>
    <t>ZVW51 +7.1%, гүйлт 189k -1.0%, A Premium +10.5%, өнгө +3.8%, оноо 3.5 -1.2%</t>
  </si>
  <si>
    <t>TAA Hiroshima|174|2026/10/06</t>
  </si>
  <si>
    <t>2026/10/06 09:37</t>
  </si>
  <si>
    <t>10170</t>
  </si>
  <si>
    <t>гүйлт 169k -0.5%, G Touring +3.2%, өнгө +6.1%, оноо 3.5 -1.2%</t>
  </si>
  <si>
    <t>CAA Tokyo|10170|2026/10/06</t>
  </si>
  <si>
    <t>2026/10/06 09:01</t>
  </si>
  <si>
    <t>7</t>
  </si>
  <si>
    <t>G LEATHER PACKAGE</t>
  </si>
  <si>
    <t>гүйлт 143k +0.3%, G Leather +10.0%, оноо 4 +0.8%</t>
  </si>
  <si>
    <t>TAA Kinki|7|2026/10/06</t>
  </si>
  <si>
    <t>2026/10/05 14:40</t>
  </si>
  <si>
    <t>Honda Nagoya</t>
  </si>
  <si>
    <t>55383</t>
  </si>
  <si>
    <t>гүйлт 98k +1.5%, G +1.1%, өнгө +7.1%</t>
  </si>
  <si>
    <t>Honda Nagoya|55383|2026/10/05</t>
  </si>
  <si>
    <t>2026/10/05 14:01</t>
  </si>
  <si>
    <t>JU Tokyo</t>
  </si>
  <si>
    <t>8437</t>
  </si>
  <si>
    <t>Car Problem</t>
  </si>
  <si>
    <t>гүйлт 209k -1.6%, G +1.1%, өнгө +1.8%, оноо 3.5 -1.2%</t>
  </si>
  <si>
    <t>JU Tokyo|8437|2026/10/05</t>
  </si>
  <si>
    <t>2026/10/05 13:47</t>
  </si>
  <si>
    <t>Honda Tokyo</t>
  </si>
  <si>
    <t>20287</t>
  </si>
  <si>
    <t>гүйлт 140k +0.3%, S Tune Black +0.8%</t>
  </si>
  <si>
    <t>Honda Tokyo|20287|2026/10/05</t>
  </si>
  <si>
    <t>2026/10/05 12:29</t>
  </si>
  <si>
    <t>Honda Sendai</t>
  </si>
  <si>
    <t>40063</t>
  </si>
  <si>
    <t>гүйлт 163k -0.4%, S Tune Black +0.8%, өнгө +6.1%, оноо 3.5 -1.2%</t>
  </si>
  <si>
    <t>Honda Sendai|40063|2026/10/05</t>
  </si>
  <si>
    <t>2026/10/05 11:47</t>
  </si>
  <si>
    <t>7045</t>
  </si>
  <si>
    <t>гүйлт 119k +0.9%, G Touring +3.2%, оноо 3.5 -1.2%</t>
  </si>
  <si>
    <t>JU Tokyo|7045|2026/10/05</t>
  </si>
  <si>
    <t>2026/10/05 11:34</t>
  </si>
  <si>
    <t>55070</t>
  </si>
  <si>
    <t>S</t>
  </si>
  <si>
    <t>гүйлт 100k +1.1%, өнгө +6.1%, оноо 4 +0.8%</t>
  </si>
  <si>
    <t>Honda Nagoya|55070|2026/10/05</t>
  </si>
  <si>
    <t>2026/10/05 11:09</t>
  </si>
  <si>
    <t>20017</t>
  </si>
  <si>
    <t>гүйлт 177k -0.7%, S Touring +4.0%, өнгө +3.8%, оноо 3.5 -1.2%</t>
  </si>
  <si>
    <t>Honda Tokyo|20017|2026/10/05</t>
  </si>
  <si>
    <t>2026/10/05 10:46</t>
  </si>
  <si>
    <t>Honda Kansai</t>
  </si>
  <si>
    <t>70032</t>
  </si>
  <si>
    <t>3</t>
  </si>
  <si>
    <t>гүйлт 107k +1.1%, G +1.1%, өнгө +7.1%, оноо 3 -3.3%</t>
  </si>
  <si>
    <t>Honda Kansai|70032|2026/10/05</t>
  </si>
  <si>
    <t>2026/10/05 10:40</t>
  </si>
  <si>
    <t>70012</t>
  </si>
  <si>
    <t>гүйлт 100k +1.1%, S Touring +4.0%</t>
  </si>
  <si>
    <t>Honda Kansai|70012|2026/10/05</t>
  </si>
  <si>
    <t>2026/10/05 09:32</t>
  </si>
  <si>
    <t>Honda Kyushu</t>
  </si>
  <si>
    <t>60009</t>
  </si>
  <si>
    <t>гүйлт 152k -0.1%, S Tune Black +0.8%, өнгө +6.1%, оноо 3.5 -1.2%</t>
  </si>
  <si>
    <t>Honda Kyushu|60009|2026/10/05</t>
  </si>
  <si>
    <t>Авч чадаагүй машинууд: өөр хүнд зарагдсан үнээр авсан бол</t>
  </si>
  <si>
    <t>Бүх тоо 'Бүх машин' sheet-ээс томьёогоор ирнэ (ханш, ачилтын шар нүдийг тэнд засна). Зөрүү = зарагдсан үнэ − миний үнэ. Ашиг = загварын үнэ − зарагдсан үнээр буух үнэ.</t>
  </si>
  <si>
    <t>Зарагдсан үнэ, ¥</t>
  </si>
  <si>
    <t>Зөрүү, ¥</t>
  </si>
  <si>
    <t>Зөрүү, %</t>
  </si>
  <si>
    <t>Буух үнэ (зарагдсан үнээр), ₮</t>
  </si>
  <si>
    <t>Ашиг (зарагдсан үнээр), ₮</t>
  </si>
  <si>
    <t>Ашгийн хувь (зарагдсан үнээр)</t>
  </si>
  <si>
    <t>Дундаж (21 машин)</t>
  </si>
  <si>
    <t>Өөр хүмүүс таны үнээс дунджаар 'Зөрүү, %'-иар илүү үнэ тавьж авсан. 'Ашгийн хувь (зарагдсан үнээр)' нь тэр үнээр авсан ч хэдэн хувийн ашиг үлдэхийг харуулна.</t>
  </si>
  <si>
    <t>Суудлын автомашины импортын онцгой татвар, ₮ (засаж болно)</t>
  </si>
  <si>
    <t>1. Хайбрид ба газ</t>
  </si>
  <si>
    <t>Хөдөлгүүр (cc)</t>
  </si>
  <si>
    <t>Доод хязгаар</t>
  </si>
  <si>
    <t>0-3 жил</t>
  </si>
  <si>
    <t>4-6 жил</t>
  </si>
  <si>
    <t>7-9 жил</t>
  </si>
  <si>
    <t>10-с дээш</t>
  </si>
  <si>
    <t>нас ≥</t>
  </si>
  <si>
    <t>1-1500</t>
  </si>
  <si>
    <t>1501-2500</t>
  </si>
  <si>
    <t>2501-3500</t>
  </si>
  <si>
    <t>3501-4500</t>
  </si>
  <si>
    <t>4501-с дээш</t>
  </si>
  <si>
    <t>2. Энгийн бензин, дизель</t>
  </si>
  <si>
    <t>Суудлын автомашины импортын онцгой татвар, шинэ хувь хэмжээ. Нас = тооцох он - үйлдвэрлэсэн он.</t>
  </si>
  <si>
    <t>Тооцоолол</t>
  </si>
  <si>
    <t>Буух үнэ = [(үнэ ¥ + нэмэх ¥) × иен ханш + ачилт + онцгой татвар] × (1 + НӨАТ). Шар нүдийг 'Бүх машин' sheet-ийн дээд хэсэгт засна.</t>
  </si>
  <si>
    <t>Буух үнэ (эцсийн үнээр): аукционы эцсийн үнээр авсан бол хэд болохыг харуулна (аваагүй машинд харьцуулалт).</t>
  </si>
  <si>
    <t>Монголд зарагдах үнэ: car-valuation үнэлгээний загвар (model_2026-10-04_v6_2026fresh.json) — unegui.mn-ийн 2026 онд орж ирсэн, дугаар аваагүй зарууд.</t>
  </si>
  <si>
    <t>Загварын үнэ нь зарын (асуусан) үнэ. Бодит зарагдах үнэ ихэвчлэн арай бага. Доод/Дээд = зарын 50% энэ хооронд.</t>
  </si>
  <si>
    <t>Аукционы оноо R/RA (засвартай) бол загварт оруулаагүй. Мөнгөлөг өнгө = 'бусад өнгө'.</t>
  </si>
  <si>
    <t>Ашигт гаалийн 5% албан татвар, бүртгэл, засвар, зуучлалын зардал ороогүй.</t>
  </si>
  <si>
    <t>Цэнхэр тодорсон лот = энэ удаа шинээр нэмэгдсэн. 'Тэмдэглэл' баганад бичсэн зүйл дараагийн шинэчлэлд хадгалагдана.</t>
  </si>
  <si>
    <t>Шинэчлэх: Claude Code-ийг E:\tttt-ээс нээгээд 'аукционы машинуудыг үнэл' гэж бичнэ.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</si>
</sst>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%"/>
  </numFmts>
  <fonts count="32">
    <font>
      <sz val="11"/>
      <color theme="1"/>
      <name val="Calibri"/>
      <charset val="134"/>
      <scheme val="minor"/>
    </font>
    <font>
      <b/>
      <sz val="13"/>
      <name val="Calibri"/>
      <charset val="134"/>
      <scheme val="minor"/>
    </font>
    <font>
      <b/>
      <sz val="11"/>
      <name val="Calibri"/>
      <charset val="134"/>
      <scheme val="minor"/>
    </font>
    <font>
      <b/>
      <sz val="14"/>
      <name val="Calibri"/>
      <charset val="134"/>
      <scheme val="minor"/>
    </font>
    <font>
      <sz val="9"/>
      <color rgb="FF7F7F7F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i/>
      <sz val="9"/>
      <name val="Calibri"/>
      <charset val="134"/>
      <scheme val="minor"/>
    </font>
    <font>
      <i/>
      <sz val="11"/>
      <color rgb="FF595959"/>
      <name val="Calibri"/>
      <charset val="134"/>
      <scheme val="minor"/>
    </font>
    <font>
      <b/>
      <sz val="9"/>
      <color rgb="FF595959"/>
      <name val="Calibri"/>
      <charset val="134"/>
      <scheme val="minor"/>
    </font>
    <font>
      <b/>
      <sz val="12"/>
      <color rgb="FF0000FF"/>
      <name val="Calibri"/>
      <charset val="134"/>
      <scheme val="minor"/>
    </font>
    <font>
      <i/>
      <sz val="9"/>
      <color rgb="FF7F7F7F"/>
      <name val="Calibri"/>
      <charset val="134"/>
      <scheme val="minor"/>
    </font>
    <font>
      <b/>
      <sz val="11"/>
      <color rgb="FF0000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6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5" applyNumberFormat="0" applyAlignment="0" applyProtection="0">
      <alignment vertical="center"/>
    </xf>
    <xf numFmtId="0" fontId="22" fillId="8" borderId="6" applyNumberFormat="0" applyAlignment="0" applyProtection="0">
      <alignment vertical="center"/>
    </xf>
    <xf numFmtId="0" fontId="23" fillId="8" borderId="5" applyNumberFormat="0" applyAlignment="0" applyProtection="0">
      <alignment vertical="center"/>
    </xf>
    <xf numFmtId="0" fontId="24" fillId="9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3" fontId="0" fillId="2" borderId="1" xfId="0" applyNumberFormat="1" applyFill="1" applyBorder="1"/>
    <xf numFmtId="0" fontId="3" fillId="0" borderId="0" xfId="0" applyFon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3" fontId="0" fillId="0" borderId="1" xfId="0" applyNumberFormat="1" applyBorder="1"/>
    <xf numFmtId="1" fontId="0" fillId="0" borderId="1" xfId="0" applyNumberFormat="1" applyBorder="1"/>
    <xf numFmtId="178" fontId="0" fillId="0" borderId="1" xfId="0" applyNumberFormat="1" applyBorder="1"/>
    <xf numFmtId="3" fontId="2" fillId="0" borderId="1" xfId="0" applyNumberFormat="1" applyFont="1" applyBorder="1"/>
    <xf numFmtId="178" fontId="2" fillId="0" borderId="1" xfId="0" applyNumberFormat="1" applyFont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2" fontId="9" fillId="2" borderId="1" xfId="0" applyNumberFormat="1" applyFont="1" applyFill="1" applyBorder="1"/>
    <xf numFmtId="0" fontId="10" fillId="0" borderId="0" xfId="0" applyFont="1"/>
    <xf numFmtId="3" fontId="9" fillId="2" borderId="1" xfId="0" applyNumberFormat="1" applyFont="1" applyFill="1" applyBorder="1"/>
    <xf numFmtId="178" fontId="9" fillId="2" borderId="1" xfId="0" applyNumberFormat="1" applyFont="1" applyFill="1" applyBorder="1"/>
    <xf numFmtId="1" fontId="9" fillId="2" borderId="1" xfId="0" applyNumberFormat="1" applyFont="1" applyFill="1" applyBorder="1"/>
    <xf numFmtId="0" fontId="0" fillId="5" borderId="1" xfId="0" applyFill="1" applyBorder="1"/>
    <xf numFmtId="3" fontId="11" fillId="2" borderId="1" xfId="0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ont>
        <color rgb="FF006100"/>
      </font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8"/>
  <sheetViews>
    <sheetView tabSelected="1" workbookViewId="0">
      <pane xSplit="3" ySplit="5" topLeftCell="F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/>
  <cols>
    <col min="1" max="1" width="16" customWidth="1"/>
    <col min="2" max="2" width="14" customWidth="1"/>
    <col min="3" max="3" width="8" customWidth="1"/>
    <col min="4" max="4" width="13" customWidth="1"/>
    <col min="5" max="5" width="9" customWidth="1"/>
    <col min="6" max="6" width="20" customWidth="1"/>
    <col min="7" max="7" width="6" customWidth="1"/>
    <col min="8" max="8" width="10" customWidth="1"/>
    <col min="9" max="9" width="7" customWidth="1"/>
    <col min="10" max="10" width="9" customWidth="1"/>
    <col min="11" max="11" width="6" customWidth="1"/>
    <col min="12" max="12" width="13" customWidth="1"/>
    <col min="13" max="13" width="22" customWidth="1"/>
    <col min="14" max="15" width="12" customWidth="1"/>
    <col min="16" max="16" width="11" customWidth="1"/>
    <col min="17" max="17" width="5" customWidth="1"/>
    <col min="18" max="18" width="13" customWidth="1"/>
    <col min="19" max="20" width="15" customWidth="1"/>
    <col min="21" max="21" width="16" customWidth="1"/>
    <col min="22" max="23" width="13" customWidth="1"/>
    <col min="24" max="24" width="14" customWidth="1"/>
    <col min="25" max="25" width="9" customWidth="1"/>
    <col min="26" max="26" width="14" customWidth="1"/>
    <col min="27" max="27" width="16" customWidth="1"/>
    <col min="28" max="28" width="46" customWidth="1"/>
    <col min="29" max="29" width="11" customWidth="1"/>
    <col min="30" max="30" width="30" customWidth="1"/>
    <col min="31" max="31" width="10" hidden="1" customWidth="1"/>
  </cols>
  <sheetData>
    <row r="1" ht="18.75" spans="1:31">
      <c r="A1" s="5" t="s">
        <v>0</v>
      </c>
      <c r="H1" s="15" t="s">
        <v>1</v>
      </c>
    </row>
    <row r="2" spans="1:31">
      <c r="A2" s="16" t="s">
        <v>2</v>
      </c>
      <c r="D2" s="16" t="s">
        <v>3</v>
      </c>
      <c r="F2" s="16" t="s">
        <v>4</v>
      </c>
      <c r="H2" s="16" t="s">
        <v>5</v>
      </c>
      <c r="L2" s="16" t="s">
        <v>6</v>
      </c>
    </row>
    <row r="3" ht="15.75" spans="1:31">
      <c r="A3" s="17">
        <v>22.93</v>
      </c>
      <c r="B3" s="18" t="s">
        <v>7</v>
      </c>
      <c r="D3" s="19">
        <v>100000</v>
      </c>
      <c r="F3" s="19">
        <v>2768000</v>
      </c>
      <c r="H3" s="20">
        <v>0.155</v>
      </c>
      <c r="L3" s="21">
        <v>2026</v>
      </c>
    </row>
    <row r="4" spans="1:31">
      <c r="A4" s="6" t="s">
        <v>8</v>
      </c>
    </row>
    <row r="5" ht="42" customHeight="1" spans="1:31">
      <c r="A5" s="7" t="s">
        <v>9</v>
      </c>
      <c r="B5" s="7" t="s">
        <v>10</v>
      </c>
      <c r="C5" s="7" t="s">
        <v>11</v>
      </c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7" t="s">
        <v>21</v>
      </c>
      <c r="N5" s="7" t="s">
        <v>22</v>
      </c>
      <c r="O5" s="7" t="s">
        <v>23</v>
      </c>
      <c r="P5" s="7" t="s">
        <v>24</v>
      </c>
      <c r="Q5" s="7" t="s">
        <v>25</v>
      </c>
      <c r="R5" s="7" t="s">
        <v>26</v>
      </c>
      <c r="S5" s="7" t="s">
        <v>27</v>
      </c>
      <c r="T5" s="7" t="s">
        <v>28</v>
      </c>
      <c r="U5" s="8" t="s">
        <v>29</v>
      </c>
      <c r="V5" s="8" t="s">
        <v>30</v>
      </c>
      <c r="W5" s="8" t="s">
        <v>31</v>
      </c>
      <c r="X5" s="7" t="s">
        <v>32</v>
      </c>
      <c r="Y5" s="7" t="s">
        <v>33</v>
      </c>
      <c r="Z5" s="7" t="s">
        <v>34</v>
      </c>
      <c r="AA5" s="8" t="s">
        <v>35</v>
      </c>
      <c r="AB5" s="8" t="s">
        <v>36</v>
      </c>
      <c r="AC5" s="7" t="s">
        <v>37</v>
      </c>
      <c r="AD5" s="7" t="s">
        <v>38</v>
      </c>
      <c r="AE5" s="7" t="s">
        <v>39</v>
      </c>
    </row>
    <row r="6" spans="1:31">
      <c r="A6" s="22" t="s">
        <v>40</v>
      </c>
      <c r="B6" s="22" t="s">
        <v>41</v>
      </c>
      <c r="C6" s="22" t="s">
        <v>42</v>
      </c>
      <c r="D6" s="3" t="s">
        <v>43</v>
      </c>
      <c r="E6" s="3" t="s">
        <v>44</v>
      </c>
      <c r="F6" s="3" t="s">
        <v>45</v>
      </c>
      <c r="G6" s="10">
        <v>2012</v>
      </c>
      <c r="H6" s="9">
        <v>152000</v>
      </c>
      <c r="I6" s="10">
        <v>1800</v>
      </c>
      <c r="J6" s="3" t="s">
        <v>46</v>
      </c>
      <c r="K6" s="3" t="s">
        <v>47</v>
      </c>
      <c r="L6" s="3" t="s">
        <v>48</v>
      </c>
      <c r="M6" s="3" t="s">
        <v>49</v>
      </c>
      <c r="N6" s="9">
        <v>300000</v>
      </c>
      <c r="O6" s="9"/>
      <c r="P6" s="23"/>
      <c r="Q6" s="10">
        <f t="shared" ref="Q6:Q38" si="0">$L$3-G6</f>
        <v>14</v>
      </c>
      <c r="R6" s="9">
        <f>IF(J6="Хайбрид",INDEX('Онцгой татвар'!$C$6:$F$10,MATCH(I6,'Онцгой татвар'!$B$6:$B$10,1),MATCH(Q6,'Онцгой татвар'!$C$5:$F$5,1)),INDEX('Онцгой татвар'!$C$15:$F$19,MATCH(I6,'Онцгой татвар'!$B$15:$B$19,1),MATCH(Q6,'Онцгой татвар'!$C$14:$F$14,1)))</f>
        <v>5850000</v>
      </c>
      <c r="S6" s="12">
        <f t="shared" ref="S6:S38" si="1">IF(N6="","",((N6+IF(P6="",$D$3,P6))*$A$3+$F$3+R6)*(1+$H$3))</f>
        <v>20547450</v>
      </c>
      <c r="T6" s="9" t="str">
        <f t="shared" ref="T6:T38" si="2">IF(O6="","",((O6+IF(P6="",$D$3,P6))*$A$3+$F$3+R6)*(1+$H$3))</f>
        <v/>
      </c>
      <c r="U6" s="12">
        <v>26763000</v>
      </c>
      <c r="V6" s="9">
        <v>25663000</v>
      </c>
      <c r="W6" s="9">
        <v>27828000</v>
      </c>
      <c r="X6" s="9">
        <f t="shared" ref="X6:X38" si="3">IF(OR(U6="",S6=""),"",U6-S6)</f>
        <v>6215550</v>
      </c>
      <c r="Y6" s="11">
        <f t="shared" ref="Y6:Y38" si="4">IF(X6="","",X6/S6)</f>
        <v>0.302497390187104</v>
      </c>
      <c r="Z6" s="9" t="str">
        <f t="shared" ref="Z6:Z38" si="5">IF(OR(U6="",T6=""),"",U6-T6)</f>
        <v/>
      </c>
      <c r="AA6" s="3" t="s">
        <v>50</v>
      </c>
      <c r="AB6" s="3" t="s">
        <v>51</v>
      </c>
      <c r="AC6" s="3" t="s">
        <v>52</v>
      </c>
      <c r="AD6" s="3"/>
      <c r="AE6" s="3" t="s">
        <v>53</v>
      </c>
    </row>
    <row r="7" spans="1:31">
      <c r="A7" s="22" t="s">
        <v>54</v>
      </c>
      <c r="B7" s="22" t="s">
        <v>55</v>
      </c>
      <c r="C7" s="22" t="s">
        <v>56</v>
      </c>
      <c r="D7" s="3" t="s">
        <v>57</v>
      </c>
      <c r="E7" s="3" t="s">
        <v>58</v>
      </c>
      <c r="F7" s="3" t="s">
        <v>59</v>
      </c>
      <c r="G7" s="10">
        <v>2017</v>
      </c>
      <c r="H7" s="9">
        <v>133000</v>
      </c>
      <c r="I7" s="10">
        <v>2500</v>
      </c>
      <c r="J7" s="3" t="s">
        <v>46</v>
      </c>
      <c r="K7" s="3" t="s">
        <v>47</v>
      </c>
      <c r="L7" s="3" t="s">
        <v>60</v>
      </c>
      <c r="M7" s="3" t="s">
        <v>49</v>
      </c>
      <c r="N7" s="9">
        <v>950000</v>
      </c>
      <c r="O7" s="9"/>
      <c r="P7" s="23"/>
      <c r="Q7" s="10">
        <f t="shared" si="0"/>
        <v>9</v>
      </c>
      <c r="R7" s="9">
        <f>IF(J7="Хайбрид",INDEX('Онцгой татвар'!$C$6:$F$10,MATCH(I7,'Онцгой татвар'!$B$6:$B$10,1),MATCH(Q7,'Онцгой татвар'!$C$5:$F$5,1)),INDEX('Онцгой татвар'!$C$15:$F$19,MATCH(I7,'Онцгой татвар'!$B$15:$B$19,1),MATCH(Q7,'Онцгой татвар'!$C$14:$F$14,1)))</f>
        <v>2500000</v>
      </c>
      <c r="S7" s="12">
        <f t="shared" si="1"/>
        <v>33892897.5</v>
      </c>
      <c r="T7" s="9" t="str">
        <f t="shared" si="2"/>
        <v/>
      </c>
      <c r="U7" s="12">
        <v>47712000</v>
      </c>
      <c r="V7" s="9">
        <v>45749000</v>
      </c>
      <c r="W7" s="9">
        <v>49609000</v>
      </c>
      <c r="X7" s="9">
        <f t="shared" si="3"/>
        <v>13819102.5</v>
      </c>
      <c r="Y7" s="11">
        <f t="shared" si="4"/>
        <v>0.407728566139853</v>
      </c>
      <c r="Z7" s="9" t="str">
        <f t="shared" si="5"/>
        <v/>
      </c>
      <c r="AA7" s="3" t="s">
        <v>61</v>
      </c>
      <c r="AB7" s="3" t="s">
        <v>62</v>
      </c>
      <c r="AC7" s="3" t="s">
        <v>52</v>
      </c>
      <c r="AD7" s="3"/>
      <c r="AE7" s="3" t="s">
        <v>63</v>
      </c>
    </row>
    <row r="8" spans="1:31">
      <c r="A8" s="22" t="s">
        <v>64</v>
      </c>
      <c r="B8" s="22" t="s">
        <v>41</v>
      </c>
      <c r="C8" s="22" t="s">
        <v>65</v>
      </c>
      <c r="D8" s="3" t="s">
        <v>43</v>
      </c>
      <c r="E8" s="3" t="s">
        <v>44</v>
      </c>
      <c r="F8" s="3" t="s">
        <v>66</v>
      </c>
      <c r="G8" s="10">
        <v>2013</v>
      </c>
      <c r="H8" s="9">
        <v>142000</v>
      </c>
      <c r="I8" s="10">
        <v>1800</v>
      </c>
      <c r="J8" s="3" t="s">
        <v>46</v>
      </c>
      <c r="K8" s="3" t="s">
        <v>67</v>
      </c>
      <c r="L8" s="3" t="s">
        <v>68</v>
      </c>
      <c r="M8" s="3" t="s">
        <v>49</v>
      </c>
      <c r="N8" s="9">
        <v>300000</v>
      </c>
      <c r="O8" s="9"/>
      <c r="P8" s="23"/>
      <c r="Q8" s="10">
        <f t="shared" si="0"/>
        <v>13</v>
      </c>
      <c r="R8" s="9">
        <f>IF(J8="Хайбрид",INDEX('Онцгой татвар'!$C$6:$F$10,MATCH(I8,'Онцгой татвар'!$B$6:$B$10,1),MATCH(Q8,'Онцгой татвар'!$C$5:$F$5,1)),INDEX('Онцгой татвар'!$C$15:$F$19,MATCH(I8,'Онцгой татвар'!$B$15:$B$19,1),MATCH(Q8,'Онцгой татвар'!$C$14:$F$14,1)))</f>
        <v>5850000</v>
      </c>
      <c r="S8" s="12">
        <f t="shared" si="1"/>
        <v>20547450</v>
      </c>
      <c r="T8" s="9" t="str">
        <f t="shared" si="2"/>
        <v/>
      </c>
      <c r="U8" s="12">
        <v>27310000</v>
      </c>
      <c r="V8" s="9">
        <v>26187000</v>
      </c>
      <c r="W8" s="9">
        <v>28397000</v>
      </c>
      <c r="X8" s="9">
        <f t="shared" si="3"/>
        <v>6762550</v>
      </c>
      <c r="Y8" s="11">
        <f t="shared" si="4"/>
        <v>0.329118698427299</v>
      </c>
      <c r="Z8" s="9" t="str">
        <f t="shared" si="5"/>
        <v/>
      </c>
      <c r="AA8" s="3" t="s">
        <v>69</v>
      </c>
      <c r="AB8" s="3" t="s">
        <v>70</v>
      </c>
      <c r="AC8" s="3" t="s">
        <v>52</v>
      </c>
      <c r="AD8" s="3"/>
      <c r="AE8" s="3" t="s">
        <v>71</v>
      </c>
    </row>
    <row r="9" spans="1:31">
      <c r="A9" s="22" t="s">
        <v>72</v>
      </c>
      <c r="B9" s="22" t="s">
        <v>41</v>
      </c>
      <c r="C9" s="22" t="s">
        <v>73</v>
      </c>
      <c r="D9" s="3" t="s">
        <v>57</v>
      </c>
      <c r="E9" s="3" t="s">
        <v>58</v>
      </c>
      <c r="F9" s="3" t="s">
        <v>66</v>
      </c>
      <c r="G9" s="10">
        <v>2018</v>
      </c>
      <c r="H9" s="9">
        <v>114000</v>
      </c>
      <c r="I9" s="10">
        <v>2500</v>
      </c>
      <c r="J9" s="3" t="s">
        <v>46</v>
      </c>
      <c r="K9" s="3" t="s">
        <v>67</v>
      </c>
      <c r="L9" s="3" t="s">
        <v>74</v>
      </c>
      <c r="M9" s="3" t="s">
        <v>49</v>
      </c>
      <c r="N9" s="9">
        <v>950000</v>
      </c>
      <c r="O9" s="9"/>
      <c r="P9" s="23"/>
      <c r="Q9" s="10">
        <f t="shared" si="0"/>
        <v>8</v>
      </c>
      <c r="R9" s="9">
        <f>IF(J9="Хайбрид",INDEX('Онцгой татвар'!$C$6:$F$10,MATCH(I9,'Онцгой татвар'!$B$6:$B$10,1),MATCH(Q9,'Онцгой татвар'!$C$5:$F$5,1)),INDEX('Онцгой татвар'!$C$15:$F$19,MATCH(I9,'Онцгой татвар'!$B$15:$B$19,1),MATCH(Q9,'Онцгой татвар'!$C$14:$F$14,1)))</f>
        <v>2500000</v>
      </c>
      <c r="S9" s="12">
        <f t="shared" si="1"/>
        <v>33892897.5</v>
      </c>
      <c r="T9" s="9" t="str">
        <f t="shared" si="2"/>
        <v/>
      </c>
      <c r="U9" s="12">
        <v>45613000</v>
      </c>
      <c r="V9" s="9">
        <v>43737000</v>
      </c>
      <c r="W9" s="9">
        <v>47427000</v>
      </c>
      <c r="X9" s="9">
        <f t="shared" si="3"/>
        <v>11720102.5</v>
      </c>
      <c r="Y9" s="11">
        <f t="shared" si="4"/>
        <v>0.345798186773497</v>
      </c>
      <c r="Z9" s="9" t="str">
        <f t="shared" si="5"/>
        <v/>
      </c>
      <c r="AA9" s="3" t="s">
        <v>75</v>
      </c>
      <c r="AB9" s="3" t="s">
        <v>76</v>
      </c>
      <c r="AC9" s="3" t="s">
        <v>52</v>
      </c>
      <c r="AD9" s="3"/>
      <c r="AE9" s="3" t="s">
        <v>77</v>
      </c>
    </row>
    <row r="10" spans="1:31">
      <c r="A10" s="22" t="s">
        <v>78</v>
      </c>
      <c r="B10" s="22" t="s">
        <v>41</v>
      </c>
      <c r="C10" s="22" t="s">
        <v>79</v>
      </c>
      <c r="D10" s="3" t="s">
        <v>43</v>
      </c>
      <c r="E10" s="3" t="s">
        <v>44</v>
      </c>
      <c r="F10" s="3" t="s">
        <v>80</v>
      </c>
      <c r="G10" s="10">
        <v>2011</v>
      </c>
      <c r="H10" s="9">
        <v>180000</v>
      </c>
      <c r="I10" s="10">
        <v>1800</v>
      </c>
      <c r="J10" s="3" t="s">
        <v>46</v>
      </c>
      <c r="K10" s="3" t="s">
        <v>81</v>
      </c>
      <c r="L10" s="3" t="s">
        <v>48</v>
      </c>
      <c r="M10" s="3" t="s">
        <v>82</v>
      </c>
      <c r="N10" s="9">
        <v>280000</v>
      </c>
      <c r="O10" s="9"/>
      <c r="P10" s="23"/>
      <c r="Q10" s="10">
        <f t="shared" si="0"/>
        <v>15</v>
      </c>
      <c r="R10" s="9">
        <f>IF(J10="Хайбрид",INDEX('Онцгой татвар'!$C$6:$F$10,MATCH(I10,'Онцгой татвар'!$B$6:$B$10,1),MATCH(Q10,'Онцгой татвар'!$C$5:$F$5,1)),INDEX('Онцгой татвар'!$C$15:$F$19,MATCH(I10,'Онцгой татвар'!$B$15:$B$19,1),MATCH(Q10,'Онцгой татвар'!$C$14:$F$14,1)))</f>
        <v>5850000</v>
      </c>
      <c r="S10" s="12">
        <f t="shared" si="1"/>
        <v>20017767</v>
      </c>
      <c r="T10" s="9" t="str">
        <f t="shared" si="2"/>
        <v/>
      </c>
      <c r="U10" s="12">
        <v>27171000</v>
      </c>
      <c r="V10" s="9">
        <v>26053000</v>
      </c>
      <c r="W10" s="9">
        <v>28251000</v>
      </c>
      <c r="X10" s="9">
        <f t="shared" si="3"/>
        <v>7153233</v>
      </c>
      <c r="Y10" s="11">
        <f t="shared" si="4"/>
        <v>0.357344203277019</v>
      </c>
      <c r="Z10" s="9" t="str">
        <f t="shared" si="5"/>
        <v/>
      </c>
      <c r="AA10" s="3" t="s">
        <v>83</v>
      </c>
      <c r="AB10" s="3" t="s">
        <v>84</v>
      </c>
      <c r="AC10" s="3" t="s">
        <v>52</v>
      </c>
      <c r="AD10" s="3"/>
      <c r="AE10" s="3" t="s">
        <v>85</v>
      </c>
    </row>
    <row r="11" spans="1:31">
      <c r="A11" s="22" t="s">
        <v>86</v>
      </c>
      <c r="B11" s="22" t="s">
        <v>41</v>
      </c>
      <c r="C11" s="22" t="s">
        <v>87</v>
      </c>
      <c r="D11" s="3" t="s">
        <v>43</v>
      </c>
      <c r="E11" s="3" t="s">
        <v>44</v>
      </c>
      <c r="F11" s="3" t="s">
        <v>80</v>
      </c>
      <c r="G11" s="10">
        <v>2012</v>
      </c>
      <c r="H11" s="9">
        <v>134000</v>
      </c>
      <c r="I11" s="10">
        <v>1800</v>
      </c>
      <c r="J11" s="3" t="s">
        <v>46</v>
      </c>
      <c r="K11" s="3" t="s">
        <v>67</v>
      </c>
      <c r="L11" s="3" t="s">
        <v>68</v>
      </c>
      <c r="M11" s="3" t="s">
        <v>49</v>
      </c>
      <c r="N11" s="9">
        <v>300000</v>
      </c>
      <c r="O11" s="9"/>
      <c r="P11" s="23"/>
      <c r="Q11" s="10">
        <f t="shared" si="0"/>
        <v>14</v>
      </c>
      <c r="R11" s="9">
        <f>IF(J11="Хайбрид",INDEX('Онцгой татвар'!$C$6:$F$10,MATCH(I11,'Онцгой татвар'!$B$6:$B$10,1),MATCH(Q11,'Онцгой татвар'!$C$5:$F$5,1)),INDEX('Онцгой татвар'!$C$15:$F$19,MATCH(I11,'Онцгой татвар'!$B$15:$B$19,1),MATCH(Q11,'Онцгой татвар'!$C$14:$F$14,1)))</f>
        <v>5850000</v>
      </c>
      <c r="S11" s="12">
        <f t="shared" si="1"/>
        <v>20547450</v>
      </c>
      <c r="T11" s="9" t="str">
        <f t="shared" si="2"/>
        <v/>
      </c>
      <c r="U11" s="12">
        <v>27151000</v>
      </c>
      <c r="V11" s="9">
        <v>26034000</v>
      </c>
      <c r="W11" s="9">
        <v>28231000</v>
      </c>
      <c r="X11" s="9">
        <f t="shared" si="3"/>
        <v>6603550</v>
      </c>
      <c r="Y11" s="11">
        <f t="shared" si="4"/>
        <v>0.321380511937004</v>
      </c>
      <c r="Z11" s="9" t="str">
        <f t="shared" si="5"/>
        <v/>
      </c>
      <c r="AA11" s="3" t="s">
        <v>50</v>
      </c>
      <c r="AB11" s="3" t="s">
        <v>88</v>
      </c>
      <c r="AC11" s="3" t="s">
        <v>52</v>
      </c>
      <c r="AD11" s="3"/>
      <c r="AE11" s="3" t="s">
        <v>89</v>
      </c>
    </row>
    <row r="12" spans="1:31">
      <c r="A12" s="22" t="s">
        <v>90</v>
      </c>
      <c r="B12" s="22" t="s">
        <v>91</v>
      </c>
      <c r="C12" s="22" t="s">
        <v>92</v>
      </c>
      <c r="D12" s="3" t="s">
        <v>57</v>
      </c>
      <c r="E12" s="3" t="s">
        <v>58</v>
      </c>
      <c r="F12" s="3" t="s">
        <v>93</v>
      </c>
      <c r="G12" s="10">
        <v>2020</v>
      </c>
      <c r="H12" s="9">
        <v>118000</v>
      </c>
      <c r="I12" s="10">
        <v>2500</v>
      </c>
      <c r="J12" s="3" t="s">
        <v>46</v>
      </c>
      <c r="K12" s="3" t="s">
        <v>67</v>
      </c>
      <c r="L12" s="3" t="s">
        <v>94</v>
      </c>
      <c r="M12" s="3" t="s">
        <v>49</v>
      </c>
      <c r="N12" s="9">
        <v>1000000</v>
      </c>
      <c r="O12" s="9"/>
      <c r="P12" s="23"/>
      <c r="Q12" s="10">
        <f t="shared" si="0"/>
        <v>6</v>
      </c>
      <c r="R12" s="9">
        <f>IF(J12="Хайбрид",INDEX('Онцгой татвар'!$C$6:$F$10,MATCH(I12,'Онцгой татвар'!$B$6:$B$10,1),MATCH(Q12,'Онцгой татвар'!$C$5:$F$5,1)),INDEX('Онцгой татвар'!$C$15:$F$19,MATCH(I12,'Онцгой татвар'!$B$15:$B$19,1),MATCH(Q12,'Онцгой татвар'!$C$14:$F$14,1)))</f>
        <v>1600000</v>
      </c>
      <c r="S12" s="12">
        <f t="shared" si="1"/>
        <v>34177605</v>
      </c>
      <c r="T12" s="9" t="str">
        <f t="shared" si="2"/>
        <v/>
      </c>
      <c r="U12" s="12">
        <v>54143000</v>
      </c>
      <c r="V12" s="9">
        <v>51916000</v>
      </c>
      <c r="W12" s="9">
        <v>56296000</v>
      </c>
      <c r="X12" s="9">
        <f t="shared" si="3"/>
        <v>19965395</v>
      </c>
      <c r="Y12" s="11">
        <f t="shared" si="4"/>
        <v>0.584166005780686</v>
      </c>
      <c r="Z12" s="9" t="str">
        <f t="shared" si="5"/>
        <v/>
      </c>
      <c r="AA12" s="3" t="s">
        <v>95</v>
      </c>
      <c r="AB12" s="3" t="s">
        <v>96</v>
      </c>
      <c r="AC12" s="3" t="s">
        <v>52</v>
      </c>
      <c r="AD12" s="3"/>
      <c r="AE12" s="3" t="s">
        <v>97</v>
      </c>
    </row>
    <row r="13" spans="1:31">
      <c r="A13" s="22" t="s">
        <v>98</v>
      </c>
      <c r="B13" s="22" t="s">
        <v>41</v>
      </c>
      <c r="C13" s="22" t="s">
        <v>99</v>
      </c>
      <c r="D13" s="3" t="s">
        <v>43</v>
      </c>
      <c r="E13" s="3" t="s">
        <v>44</v>
      </c>
      <c r="F13" s="3" t="s">
        <v>66</v>
      </c>
      <c r="G13" s="10">
        <v>2012</v>
      </c>
      <c r="H13" s="9">
        <v>159000</v>
      </c>
      <c r="I13" s="10">
        <v>1800</v>
      </c>
      <c r="J13" s="3" t="s">
        <v>46</v>
      </c>
      <c r="K13" s="3" t="s">
        <v>47</v>
      </c>
      <c r="L13" s="3" t="s">
        <v>68</v>
      </c>
      <c r="M13" s="3" t="s">
        <v>82</v>
      </c>
      <c r="N13" s="9">
        <v>300000</v>
      </c>
      <c r="O13" s="9"/>
      <c r="P13" s="23"/>
      <c r="Q13" s="10">
        <f t="shared" si="0"/>
        <v>14</v>
      </c>
      <c r="R13" s="9">
        <f>IF(J13="Хайбрид",INDEX('Онцгой татвар'!$C$6:$F$10,MATCH(I13,'Онцгой татвар'!$B$6:$B$10,1),MATCH(Q13,'Онцгой татвар'!$C$5:$F$5,1)),INDEX('Онцгой татвар'!$C$15:$F$19,MATCH(I13,'Онцгой татвар'!$B$15:$B$19,1),MATCH(Q13,'Онцгой татвар'!$C$14:$F$14,1)))</f>
        <v>5850000</v>
      </c>
      <c r="S13" s="12">
        <f t="shared" si="1"/>
        <v>20547450</v>
      </c>
      <c r="T13" s="9" t="str">
        <f t="shared" si="2"/>
        <v/>
      </c>
      <c r="U13" s="12">
        <v>25918000</v>
      </c>
      <c r="V13" s="9">
        <v>24852000</v>
      </c>
      <c r="W13" s="9">
        <v>26949000</v>
      </c>
      <c r="X13" s="9">
        <f t="shared" si="3"/>
        <v>5370550</v>
      </c>
      <c r="Y13" s="11">
        <f t="shared" si="4"/>
        <v>0.261373065757551</v>
      </c>
      <c r="Z13" s="9" t="str">
        <f t="shared" si="5"/>
        <v/>
      </c>
      <c r="AA13" s="3" t="s">
        <v>50</v>
      </c>
      <c r="AB13" s="3" t="s">
        <v>100</v>
      </c>
      <c r="AC13" s="3" t="s">
        <v>52</v>
      </c>
      <c r="AD13" s="3"/>
      <c r="AE13" s="3" t="s">
        <v>101</v>
      </c>
    </row>
    <row r="14" spans="1:31">
      <c r="A14" s="22" t="s">
        <v>102</v>
      </c>
      <c r="B14" s="22" t="s">
        <v>91</v>
      </c>
      <c r="C14" s="22" t="s">
        <v>103</v>
      </c>
      <c r="D14" s="3" t="s">
        <v>57</v>
      </c>
      <c r="E14" s="3" t="s">
        <v>58</v>
      </c>
      <c r="F14" s="3" t="s">
        <v>104</v>
      </c>
      <c r="G14" s="10">
        <v>2017</v>
      </c>
      <c r="H14" s="9">
        <v>116000</v>
      </c>
      <c r="I14" s="10">
        <v>2500</v>
      </c>
      <c r="J14" s="3" t="s">
        <v>46</v>
      </c>
      <c r="K14" s="3" t="s">
        <v>105</v>
      </c>
      <c r="L14" s="3" t="s">
        <v>74</v>
      </c>
      <c r="M14" s="3" t="s">
        <v>49</v>
      </c>
      <c r="N14" s="9">
        <v>900000</v>
      </c>
      <c r="O14" s="9"/>
      <c r="P14" s="23"/>
      <c r="Q14" s="10">
        <f t="shared" si="0"/>
        <v>9</v>
      </c>
      <c r="R14" s="9">
        <f>IF(J14="Хайбрид",INDEX('Онцгой татвар'!$C$6:$F$10,MATCH(I14,'Онцгой татвар'!$B$6:$B$10,1),MATCH(Q14,'Онцгой татвар'!$C$5:$F$5,1)),INDEX('Онцгой татвар'!$C$15:$F$19,MATCH(I14,'Онцгой татвар'!$B$15:$B$19,1),MATCH(Q14,'Онцгой татвар'!$C$14:$F$14,1)))</f>
        <v>2500000</v>
      </c>
      <c r="S14" s="12">
        <f t="shared" si="1"/>
        <v>32568690</v>
      </c>
      <c r="T14" s="9" t="str">
        <f t="shared" si="2"/>
        <v/>
      </c>
      <c r="U14" s="12">
        <v>36718000</v>
      </c>
      <c r="V14" s="9">
        <v>35208000</v>
      </c>
      <c r="W14" s="9">
        <v>38179000</v>
      </c>
      <c r="X14" s="9">
        <f t="shared" si="3"/>
        <v>4149310</v>
      </c>
      <c r="Y14" s="11">
        <f t="shared" si="4"/>
        <v>0.127401808301163</v>
      </c>
      <c r="Z14" s="9" t="str">
        <f t="shared" si="5"/>
        <v/>
      </c>
      <c r="AA14" s="3" t="s">
        <v>61</v>
      </c>
      <c r="AB14" s="3" t="s">
        <v>106</v>
      </c>
      <c r="AC14" s="3" t="s">
        <v>52</v>
      </c>
      <c r="AD14" s="3"/>
      <c r="AE14" s="3" t="s">
        <v>107</v>
      </c>
    </row>
    <row r="15" spans="1:31">
      <c r="A15" s="22" t="s">
        <v>108</v>
      </c>
      <c r="B15" s="22" t="s">
        <v>41</v>
      </c>
      <c r="C15" s="22" t="s">
        <v>109</v>
      </c>
      <c r="D15" s="3" t="s">
        <v>43</v>
      </c>
      <c r="E15" s="3" t="s">
        <v>44</v>
      </c>
      <c r="F15" s="3" t="s">
        <v>80</v>
      </c>
      <c r="G15" s="10">
        <v>2011</v>
      </c>
      <c r="H15" s="9">
        <v>132000</v>
      </c>
      <c r="I15" s="10">
        <v>1800</v>
      </c>
      <c r="J15" s="3" t="s">
        <v>46</v>
      </c>
      <c r="K15" s="3" t="s">
        <v>47</v>
      </c>
      <c r="L15" s="3" t="s">
        <v>94</v>
      </c>
      <c r="M15" s="3" t="s">
        <v>49</v>
      </c>
      <c r="N15" s="9">
        <v>275000</v>
      </c>
      <c r="O15" s="9"/>
      <c r="P15" s="23"/>
      <c r="Q15" s="10">
        <f t="shared" si="0"/>
        <v>15</v>
      </c>
      <c r="R15" s="9">
        <f>IF(J15="Хайбрид",INDEX('Онцгой татвар'!$C$6:$F$10,MATCH(I15,'Онцгой татвар'!$B$6:$B$10,1),MATCH(Q15,'Онцгой татвар'!$C$5:$F$5,1)),INDEX('Онцгой татвар'!$C$15:$F$19,MATCH(I15,'Онцгой татвар'!$B$15:$B$19,1),MATCH(Q15,'Онцгой татвар'!$C$14:$F$14,1)))</f>
        <v>5850000</v>
      </c>
      <c r="S15" s="12">
        <f t="shared" si="1"/>
        <v>19885346.25</v>
      </c>
      <c r="T15" s="9" t="str">
        <f t="shared" si="2"/>
        <v/>
      </c>
      <c r="U15" s="12">
        <v>25321000</v>
      </c>
      <c r="V15" s="9">
        <v>24279000</v>
      </c>
      <c r="W15" s="9">
        <v>26328000</v>
      </c>
      <c r="X15" s="9">
        <f t="shared" si="3"/>
        <v>5435653.75</v>
      </c>
      <c r="Y15" s="11">
        <f t="shared" si="4"/>
        <v>0.273349716000042</v>
      </c>
      <c r="Z15" s="9" t="str">
        <f t="shared" si="5"/>
        <v/>
      </c>
      <c r="AA15" s="3" t="s">
        <v>83</v>
      </c>
      <c r="AB15" s="3" t="s">
        <v>110</v>
      </c>
      <c r="AC15" s="3" t="s">
        <v>52</v>
      </c>
      <c r="AD15" s="3"/>
      <c r="AE15" s="3" t="s">
        <v>111</v>
      </c>
    </row>
    <row r="16" spans="1:31">
      <c r="A16" s="3" t="s">
        <v>112</v>
      </c>
      <c r="B16" s="3" t="s">
        <v>113</v>
      </c>
      <c r="C16" s="3" t="s">
        <v>114</v>
      </c>
      <c r="D16" s="3" t="s">
        <v>57</v>
      </c>
      <c r="E16" s="3" t="s">
        <v>58</v>
      </c>
      <c r="F16" s="3" t="s">
        <v>66</v>
      </c>
      <c r="G16" s="10">
        <v>2017</v>
      </c>
      <c r="H16" s="9">
        <v>111000</v>
      </c>
      <c r="I16" s="10">
        <v>2500</v>
      </c>
      <c r="J16" s="3" t="s">
        <v>46</v>
      </c>
      <c r="K16" s="3" t="s">
        <v>47</v>
      </c>
      <c r="L16" s="3" t="s">
        <v>68</v>
      </c>
      <c r="M16" s="3" t="s">
        <v>115</v>
      </c>
      <c r="N16" s="9">
        <v>980000</v>
      </c>
      <c r="O16" s="9">
        <v>1294000</v>
      </c>
      <c r="P16" s="23"/>
      <c r="Q16" s="10">
        <f t="shared" si="0"/>
        <v>9</v>
      </c>
      <c r="R16" s="9">
        <f>IF(J16="Хайбрид",INDEX('Онцгой татвар'!$C$6:$F$10,MATCH(I16,'Онцгой татвар'!$B$6:$B$10,1),MATCH(Q16,'Онцгой татвар'!$C$5:$F$5,1)),INDEX('Онцгой татвар'!$C$15:$F$19,MATCH(I16,'Онцгой татвар'!$B$15:$B$19,1),MATCH(Q16,'Онцгой татвар'!$C$14:$F$14,1)))</f>
        <v>2500000</v>
      </c>
      <c r="S16" s="12">
        <f t="shared" si="1"/>
        <v>34687422</v>
      </c>
      <c r="T16" s="9">
        <f t="shared" si="2"/>
        <v>43003445.1</v>
      </c>
      <c r="U16" s="12">
        <v>46298000</v>
      </c>
      <c r="V16" s="9">
        <v>44394000</v>
      </c>
      <c r="W16" s="9">
        <v>48139000</v>
      </c>
      <c r="X16" s="9">
        <f t="shared" si="3"/>
        <v>11610578</v>
      </c>
      <c r="Y16" s="11">
        <f t="shared" si="4"/>
        <v>0.334720118433708</v>
      </c>
      <c r="Z16" s="9">
        <f t="shared" si="5"/>
        <v>3294554.9</v>
      </c>
      <c r="AA16" s="3" t="s">
        <v>61</v>
      </c>
      <c r="AB16" s="3" t="s">
        <v>116</v>
      </c>
      <c r="AC16" s="3" t="s">
        <v>117</v>
      </c>
      <c r="AD16" s="3"/>
      <c r="AE16" s="3" t="s">
        <v>118</v>
      </c>
    </row>
    <row r="17" spans="1:31">
      <c r="A17" s="3" t="s">
        <v>119</v>
      </c>
      <c r="B17" s="3" t="s">
        <v>113</v>
      </c>
      <c r="C17" s="3" t="s">
        <v>120</v>
      </c>
      <c r="D17" s="3" t="s">
        <v>43</v>
      </c>
      <c r="E17" s="3" t="s">
        <v>44</v>
      </c>
      <c r="F17" s="3" t="s">
        <v>80</v>
      </c>
      <c r="G17" s="10">
        <v>2014</v>
      </c>
      <c r="H17" s="9">
        <v>165000</v>
      </c>
      <c r="I17" s="10">
        <v>1800</v>
      </c>
      <c r="J17" s="3" t="s">
        <v>46</v>
      </c>
      <c r="K17" s="3" t="s">
        <v>47</v>
      </c>
      <c r="L17" s="3" t="s">
        <v>121</v>
      </c>
      <c r="M17" s="3" t="s">
        <v>115</v>
      </c>
      <c r="N17" s="9">
        <v>275000</v>
      </c>
      <c r="O17" s="9">
        <v>473000</v>
      </c>
      <c r="P17" s="23"/>
      <c r="Q17" s="10">
        <f t="shared" si="0"/>
        <v>12</v>
      </c>
      <c r="R17" s="9">
        <f>IF(J17="Хайбрид",INDEX('Онцгой татвар'!$C$6:$F$10,MATCH(I17,'Онцгой татвар'!$B$6:$B$10,1),MATCH(Q17,'Онцгой татвар'!$C$5:$F$5,1)),INDEX('Онцгой татвар'!$C$15:$F$19,MATCH(I17,'Онцгой татвар'!$B$15:$B$19,1),MATCH(Q17,'Онцгой татвар'!$C$14:$F$14,1)))</f>
        <v>5850000</v>
      </c>
      <c r="S17" s="12">
        <f t="shared" si="1"/>
        <v>19885346.25</v>
      </c>
      <c r="T17" s="9">
        <f t="shared" si="2"/>
        <v>25129207.95</v>
      </c>
      <c r="U17" s="12">
        <v>28624000</v>
      </c>
      <c r="V17" s="9">
        <v>27446000</v>
      </c>
      <c r="W17" s="9">
        <v>29762000</v>
      </c>
      <c r="X17" s="9">
        <f t="shared" si="3"/>
        <v>8738653.75</v>
      </c>
      <c r="Y17" s="11">
        <f t="shared" si="4"/>
        <v>0.439451928074926</v>
      </c>
      <c r="Z17" s="9">
        <f t="shared" si="5"/>
        <v>3494792.05</v>
      </c>
      <c r="AA17" s="3" t="s">
        <v>122</v>
      </c>
      <c r="AB17" s="3" t="s">
        <v>123</v>
      </c>
      <c r="AC17" s="3" t="s">
        <v>117</v>
      </c>
      <c r="AD17" s="3"/>
      <c r="AE17" s="3" t="s">
        <v>124</v>
      </c>
    </row>
    <row r="18" spans="1:31">
      <c r="A18" s="3" t="s">
        <v>125</v>
      </c>
      <c r="B18" s="3" t="s">
        <v>113</v>
      </c>
      <c r="C18" s="3" t="s">
        <v>126</v>
      </c>
      <c r="D18" s="3" t="s">
        <v>43</v>
      </c>
      <c r="E18" s="3" t="s">
        <v>127</v>
      </c>
      <c r="F18" s="3" t="s">
        <v>128</v>
      </c>
      <c r="G18" s="10">
        <v>2014</v>
      </c>
      <c r="H18" s="9">
        <v>156000</v>
      </c>
      <c r="I18" s="10">
        <v>1800</v>
      </c>
      <c r="J18" s="3" t="s">
        <v>46</v>
      </c>
      <c r="K18" s="3" t="s">
        <v>81</v>
      </c>
      <c r="L18" s="3" t="s">
        <v>94</v>
      </c>
      <c r="M18" s="3" t="s">
        <v>115</v>
      </c>
      <c r="N18" s="9">
        <v>280000</v>
      </c>
      <c r="O18" s="9">
        <v>409000</v>
      </c>
      <c r="P18" s="23"/>
      <c r="Q18" s="10">
        <f t="shared" si="0"/>
        <v>12</v>
      </c>
      <c r="R18" s="9">
        <f>IF(J18="Хайбрид",INDEX('Онцгой татвар'!$C$6:$F$10,MATCH(I18,'Онцгой татвар'!$B$6:$B$10,1),MATCH(Q18,'Онцгой татвар'!$C$5:$F$5,1)),INDEX('Онцгой татвар'!$C$15:$F$19,MATCH(I18,'Онцгой татвар'!$B$15:$B$19,1),MATCH(Q18,'Онцгой татвар'!$C$14:$F$14,1)))</f>
        <v>5850000</v>
      </c>
      <c r="S18" s="12">
        <f t="shared" si="1"/>
        <v>20017767</v>
      </c>
      <c r="T18" s="9">
        <f t="shared" si="2"/>
        <v>23434222.35</v>
      </c>
      <c r="U18" s="12">
        <v>28687000</v>
      </c>
      <c r="V18" s="9">
        <v>27507000</v>
      </c>
      <c r="W18" s="9">
        <v>29828000</v>
      </c>
      <c r="X18" s="9">
        <f t="shared" si="3"/>
        <v>8669233</v>
      </c>
      <c r="Y18" s="11">
        <f t="shared" si="4"/>
        <v>0.433076926112688</v>
      </c>
      <c r="Z18" s="9">
        <f t="shared" si="5"/>
        <v>5252777.65</v>
      </c>
      <c r="AA18" s="3" t="s">
        <v>122</v>
      </c>
      <c r="AB18" s="3" t="s">
        <v>129</v>
      </c>
      <c r="AC18" s="3" t="s">
        <v>117</v>
      </c>
      <c r="AD18" s="3"/>
      <c r="AE18" s="3" t="s">
        <v>130</v>
      </c>
    </row>
    <row r="19" spans="1:31">
      <c r="A19" s="3" t="s">
        <v>131</v>
      </c>
      <c r="B19" s="3" t="s">
        <v>132</v>
      </c>
      <c r="C19" s="3" t="s">
        <v>133</v>
      </c>
      <c r="D19" s="3" t="s">
        <v>43</v>
      </c>
      <c r="E19" s="3" t="s">
        <v>127</v>
      </c>
      <c r="F19" s="3" t="s">
        <v>66</v>
      </c>
      <c r="G19" s="10">
        <v>2011</v>
      </c>
      <c r="H19" s="9">
        <v>185000</v>
      </c>
      <c r="I19" s="10">
        <v>1800</v>
      </c>
      <c r="J19" s="3" t="s">
        <v>46</v>
      </c>
      <c r="K19" s="3" t="s">
        <v>81</v>
      </c>
      <c r="L19" s="3" t="s">
        <v>68</v>
      </c>
      <c r="M19" s="3" t="s">
        <v>115</v>
      </c>
      <c r="N19" s="9">
        <v>275000</v>
      </c>
      <c r="O19" s="9">
        <v>340000</v>
      </c>
      <c r="P19" s="23"/>
      <c r="Q19" s="10">
        <f t="shared" si="0"/>
        <v>15</v>
      </c>
      <c r="R19" s="9">
        <f>IF(J19="Хайбрид",INDEX('Онцгой татвар'!$C$6:$F$10,MATCH(I19,'Онцгой татвар'!$B$6:$B$10,1),MATCH(Q19,'Онцгой татвар'!$C$5:$F$5,1)),INDEX('Онцгой татвар'!$C$15:$F$19,MATCH(I19,'Онцгой татвар'!$B$15:$B$19,1),MATCH(Q19,'Онцгой татвар'!$C$14:$F$14,1)))</f>
        <v>5850000</v>
      </c>
      <c r="S19" s="12">
        <f t="shared" si="1"/>
        <v>19885346.25</v>
      </c>
      <c r="T19" s="9">
        <f t="shared" si="2"/>
        <v>21606816</v>
      </c>
      <c r="U19" s="12">
        <v>27087000</v>
      </c>
      <c r="V19" s="9">
        <v>25973000</v>
      </c>
      <c r="W19" s="9">
        <v>28165000</v>
      </c>
      <c r="X19" s="9">
        <f t="shared" si="3"/>
        <v>7201653.75</v>
      </c>
      <c r="Y19" s="11">
        <f t="shared" si="4"/>
        <v>0.362158830902932</v>
      </c>
      <c r="Z19" s="9">
        <f t="shared" si="5"/>
        <v>5480184</v>
      </c>
      <c r="AA19" s="3" t="s">
        <v>83</v>
      </c>
      <c r="AB19" s="3" t="s">
        <v>134</v>
      </c>
      <c r="AC19" s="3" t="s">
        <v>117</v>
      </c>
      <c r="AD19" s="3"/>
      <c r="AE19" s="3" t="s">
        <v>135</v>
      </c>
    </row>
    <row r="20" spans="1:31">
      <c r="A20" s="3" t="s">
        <v>136</v>
      </c>
      <c r="B20" s="3" t="s">
        <v>132</v>
      </c>
      <c r="C20" s="3" t="s">
        <v>137</v>
      </c>
      <c r="D20" s="3" t="s">
        <v>57</v>
      </c>
      <c r="E20" s="3" t="s">
        <v>58</v>
      </c>
      <c r="F20" s="3" t="s">
        <v>93</v>
      </c>
      <c r="G20" s="10">
        <v>2018</v>
      </c>
      <c r="H20" s="9">
        <v>145000</v>
      </c>
      <c r="I20" s="10">
        <v>2500</v>
      </c>
      <c r="J20" s="3" t="s">
        <v>46</v>
      </c>
      <c r="K20" s="3" t="s">
        <v>105</v>
      </c>
      <c r="L20" s="3" t="s">
        <v>68</v>
      </c>
      <c r="M20" s="3" t="s">
        <v>115</v>
      </c>
      <c r="N20" s="9">
        <v>1000000</v>
      </c>
      <c r="O20" s="9">
        <v>1462000</v>
      </c>
      <c r="P20" s="23"/>
      <c r="Q20" s="10">
        <f t="shared" si="0"/>
        <v>8</v>
      </c>
      <c r="R20" s="9">
        <f>IF(J20="Хайбрид",INDEX('Онцгой татвар'!$C$6:$F$10,MATCH(I20,'Онцгой татвар'!$B$6:$B$10,1),MATCH(Q20,'Онцгой татвар'!$C$5:$F$5,1)),INDEX('Онцгой татвар'!$C$15:$F$19,MATCH(I20,'Онцгой татвар'!$B$15:$B$19,1),MATCH(Q20,'Онцгой татвар'!$C$14:$F$14,1)))</f>
        <v>2500000</v>
      </c>
      <c r="S20" s="12">
        <f t="shared" si="1"/>
        <v>35217105</v>
      </c>
      <c r="T20" s="9">
        <f t="shared" si="2"/>
        <v>47452782.3</v>
      </c>
      <c r="U20" s="12">
        <v>54293000</v>
      </c>
      <c r="V20" s="9">
        <v>52060000</v>
      </c>
      <c r="W20" s="9">
        <v>56453000</v>
      </c>
      <c r="X20" s="9">
        <f t="shared" si="3"/>
        <v>19075895</v>
      </c>
      <c r="Y20" s="11">
        <f t="shared" si="4"/>
        <v>0.541665619590253</v>
      </c>
      <c r="Z20" s="9">
        <f t="shared" si="5"/>
        <v>6840217.7</v>
      </c>
      <c r="AA20" s="3" t="s">
        <v>75</v>
      </c>
      <c r="AB20" s="3" t="s">
        <v>138</v>
      </c>
      <c r="AC20" s="3" t="s">
        <v>117</v>
      </c>
      <c r="AD20" s="3"/>
      <c r="AE20" s="3" t="s">
        <v>139</v>
      </c>
    </row>
    <row r="21" spans="1:31">
      <c r="A21" s="3" t="s">
        <v>140</v>
      </c>
      <c r="B21" s="3" t="s">
        <v>113</v>
      </c>
      <c r="C21" s="3" t="s">
        <v>141</v>
      </c>
      <c r="D21" s="3" t="s">
        <v>142</v>
      </c>
      <c r="E21" s="3" t="s">
        <v>143</v>
      </c>
      <c r="F21" s="3" t="s">
        <v>144</v>
      </c>
      <c r="G21" s="10">
        <v>2017</v>
      </c>
      <c r="H21" s="9">
        <v>136000</v>
      </c>
      <c r="I21" s="10">
        <v>1800</v>
      </c>
      <c r="J21" s="3" t="s">
        <v>46</v>
      </c>
      <c r="K21" s="3" t="s">
        <v>81</v>
      </c>
      <c r="L21" s="3" t="s">
        <v>48</v>
      </c>
      <c r="M21" s="3" t="s">
        <v>115</v>
      </c>
      <c r="N21" s="9">
        <v>660000</v>
      </c>
      <c r="O21" s="9">
        <v>667000</v>
      </c>
      <c r="P21" s="23"/>
      <c r="Q21" s="10">
        <f t="shared" si="0"/>
        <v>9</v>
      </c>
      <c r="R21" s="9">
        <f>IF(J21="Хайбрид",INDEX('Онцгой татвар'!$C$6:$F$10,MATCH(I21,'Онцгой татвар'!$B$6:$B$10,1),MATCH(Q21,'Онцгой татвар'!$C$5:$F$5,1)),INDEX('Онцгой татвар'!$C$15:$F$19,MATCH(I21,'Онцгой татвар'!$B$15:$B$19,1),MATCH(Q21,'Онцгой татвар'!$C$14:$F$14,1)))</f>
        <v>2500000</v>
      </c>
      <c r="S21" s="12">
        <f t="shared" si="1"/>
        <v>26212494</v>
      </c>
      <c r="T21" s="9">
        <f t="shared" si="2"/>
        <v>26397883.05</v>
      </c>
      <c r="U21" s="12">
        <v>34277000</v>
      </c>
      <c r="V21" s="9">
        <v>32867000</v>
      </c>
      <c r="W21" s="9">
        <v>35640000</v>
      </c>
      <c r="X21" s="9">
        <f t="shared" si="3"/>
        <v>8064506</v>
      </c>
      <c r="Y21" s="11">
        <f t="shared" si="4"/>
        <v>0.307658859168456</v>
      </c>
      <c r="Z21" s="9">
        <f t="shared" si="5"/>
        <v>7879116.95</v>
      </c>
      <c r="AA21" s="3" t="s">
        <v>145</v>
      </c>
      <c r="AB21" s="3" t="s">
        <v>146</v>
      </c>
      <c r="AC21" s="3" t="s">
        <v>117</v>
      </c>
      <c r="AD21" s="3"/>
      <c r="AE21" s="3" t="s">
        <v>147</v>
      </c>
    </row>
    <row r="22" spans="1:31">
      <c r="A22" s="3" t="s">
        <v>148</v>
      </c>
      <c r="B22" s="3" t="s">
        <v>149</v>
      </c>
      <c r="C22" s="3" t="s">
        <v>150</v>
      </c>
      <c r="D22" s="3" t="s">
        <v>43</v>
      </c>
      <c r="E22" s="3" t="s">
        <v>127</v>
      </c>
      <c r="F22" s="3" t="s">
        <v>66</v>
      </c>
      <c r="G22" s="10">
        <v>2011</v>
      </c>
      <c r="H22" s="9">
        <v>149000</v>
      </c>
      <c r="I22" s="10">
        <v>1800</v>
      </c>
      <c r="J22" s="3" t="s">
        <v>46</v>
      </c>
      <c r="K22" s="3" t="s">
        <v>47</v>
      </c>
      <c r="L22" s="3" t="s">
        <v>68</v>
      </c>
      <c r="M22" s="3" t="s">
        <v>115</v>
      </c>
      <c r="N22" s="9">
        <v>305000</v>
      </c>
      <c r="O22" s="9">
        <v>423000</v>
      </c>
      <c r="P22" s="23"/>
      <c r="Q22" s="10">
        <f t="shared" si="0"/>
        <v>15</v>
      </c>
      <c r="R22" s="9">
        <f>IF(J22="Хайбрид",INDEX('Онцгой татвар'!$C$6:$F$10,MATCH(I22,'Онцгой татвар'!$B$6:$B$10,1),MATCH(Q22,'Онцгой татвар'!$C$5:$F$5,1)),INDEX('Онцгой татвар'!$C$15:$F$19,MATCH(I22,'Онцгой татвар'!$B$15:$B$19,1),MATCH(Q22,'Онцгой татвар'!$C$14:$F$14,1)))</f>
        <v>5850000</v>
      </c>
      <c r="S22" s="12">
        <f t="shared" si="1"/>
        <v>20679870.75</v>
      </c>
      <c r="T22" s="9">
        <f t="shared" si="2"/>
        <v>23805000.45</v>
      </c>
      <c r="U22" s="12">
        <v>26983000</v>
      </c>
      <c r="V22" s="9">
        <v>25874000</v>
      </c>
      <c r="W22" s="9">
        <v>28057000</v>
      </c>
      <c r="X22" s="9">
        <f t="shared" si="3"/>
        <v>6303129.25</v>
      </c>
      <c r="Y22" s="11">
        <f t="shared" si="4"/>
        <v>0.304795389013735</v>
      </c>
      <c r="Z22" s="9">
        <f t="shared" si="5"/>
        <v>3177999.55</v>
      </c>
      <c r="AA22" s="3" t="s">
        <v>83</v>
      </c>
      <c r="AB22" s="3" t="s">
        <v>151</v>
      </c>
      <c r="AC22" s="3" t="s">
        <v>117</v>
      </c>
      <c r="AD22" s="3"/>
      <c r="AE22" s="3" t="s">
        <v>152</v>
      </c>
    </row>
    <row r="23" spans="1:31">
      <c r="A23" s="3" t="s">
        <v>153</v>
      </c>
      <c r="B23" s="3" t="s">
        <v>154</v>
      </c>
      <c r="C23" s="3" t="s">
        <v>155</v>
      </c>
      <c r="D23" s="3" t="s">
        <v>142</v>
      </c>
      <c r="E23" s="3" t="s">
        <v>156</v>
      </c>
      <c r="F23" s="3" t="s">
        <v>80</v>
      </c>
      <c r="G23" s="10">
        <v>2018</v>
      </c>
      <c r="H23" s="9">
        <v>205000</v>
      </c>
      <c r="I23" s="10">
        <v>1800</v>
      </c>
      <c r="J23" s="3" t="s">
        <v>46</v>
      </c>
      <c r="K23" s="3" t="s">
        <v>47</v>
      </c>
      <c r="L23" s="3" t="s">
        <v>68</v>
      </c>
      <c r="M23" s="3" t="s">
        <v>115</v>
      </c>
      <c r="N23" s="9">
        <v>500000</v>
      </c>
      <c r="O23" s="9">
        <v>685000</v>
      </c>
      <c r="P23" s="23"/>
      <c r="Q23" s="10">
        <f t="shared" si="0"/>
        <v>8</v>
      </c>
      <c r="R23" s="9">
        <f>IF(J23="Хайбрид",INDEX('Онцгой татвар'!$C$6:$F$10,MATCH(I23,'Онцгой татвар'!$B$6:$B$10,1),MATCH(Q23,'Онцгой татвар'!$C$5:$F$5,1)),INDEX('Онцгой татвар'!$C$15:$F$19,MATCH(I23,'Онцгой татвар'!$B$15:$B$19,1),MATCH(Q23,'Онцгой татвар'!$C$14:$F$14,1)))</f>
        <v>2500000</v>
      </c>
      <c r="S23" s="12">
        <f t="shared" si="1"/>
        <v>21975030</v>
      </c>
      <c r="T23" s="9">
        <f t="shared" si="2"/>
        <v>26874597.75</v>
      </c>
      <c r="U23" s="12">
        <v>32969000</v>
      </c>
      <c r="V23" s="9">
        <v>31613000</v>
      </c>
      <c r="W23" s="9">
        <v>34280000</v>
      </c>
      <c r="X23" s="9">
        <f t="shared" si="3"/>
        <v>10993970</v>
      </c>
      <c r="Y23" s="11">
        <f t="shared" si="4"/>
        <v>0.500293742488634</v>
      </c>
      <c r="Z23" s="9">
        <f t="shared" si="5"/>
        <v>6094402.25</v>
      </c>
      <c r="AA23" s="3" t="s">
        <v>157</v>
      </c>
      <c r="AB23" s="3" t="s">
        <v>158</v>
      </c>
      <c r="AC23" s="3" t="s">
        <v>117</v>
      </c>
      <c r="AD23" s="3"/>
      <c r="AE23" s="3" t="s">
        <v>159</v>
      </c>
    </row>
    <row r="24" spans="1:31">
      <c r="A24" s="3" t="s">
        <v>160</v>
      </c>
      <c r="B24" s="3" t="s">
        <v>154</v>
      </c>
      <c r="C24" s="3" t="s">
        <v>161</v>
      </c>
      <c r="D24" s="3" t="s">
        <v>43</v>
      </c>
      <c r="E24" s="3" t="s">
        <v>44</v>
      </c>
      <c r="F24" s="3" t="s">
        <v>80</v>
      </c>
      <c r="G24" s="10">
        <v>2012</v>
      </c>
      <c r="H24" s="9">
        <v>161000</v>
      </c>
      <c r="I24" s="10">
        <v>1800</v>
      </c>
      <c r="J24" s="3" t="s">
        <v>46</v>
      </c>
      <c r="K24" s="3" t="s">
        <v>47</v>
      </c>
      <c r="L24" s="3" t="s">
        <v>68</v>
      </c>
      <c r="M24" s="3" t="s">
        <v>115</v>
      </c>
      <c r="N24" s="9">
        <v>295000</v>
      </c>
      <c r="O24" s="9">
        <v>426000</v>
      </c>
      <c r="P24" s="23"/>
      <c r="Q24" s="10">
        <f t="shared" si="0"/>
        <v>14</v>
      </c>
      <c r="R24" s="9">
        <f>IF(J24="Хайбрид",INDEX('Онцгой татвар'!$C$6:$F$10,MATCH(I24,'Онцгой татвар'!$B$6:$B$10,1),MATCH(Q24,'Онцгой татвар'!$C$5:$F$5,1)),INDEX('Онцгой татвар'!$C$15:$F$19,MATCH(I24,'Онцгой татвар'!$B$15:$B$19,1),MATCH(Q24,'Онцгой татвар'!$C$14:$F$14,1)))</f>
        <v>5850000</v>
      </c>
      <c r="S24" s="12">
        <f t="shared" si="1"/>
        <v>20415029.25</v>
      </c>
      <c r="T24" s="9">
        <f t="shared" si="2"/>
        <v>23884452.9</v>
      </c>
      <c r="U24" s="12">
        <v>26634000</v>
      </c>
      <c r="V24" s="9">
        <v>25539000</v>
      </c>
      <c r="W24" s="9">
        <v>27694000</v>
      </c>
      <c r="X24" s="9">
        <f t="shared" si="3"/>
        <v>6218970.75</v>
      </c>
      <c r="Y24" s="11">
        <f t="shared" si="4"/>
        <v>0.304627080071414</v>
      </c>
      <c r="Z24" s="9">
        <f t="shared" si="5"/>
        <v>2749547.1</v>
      </c>
      <c r="AA24" s="3" t="s">
        <v>50</v>
      </c>
      <c r="AB24" s="3" t="s">
        <v>162</v>
      </c>
      <c r="AC24" s="3" t="s">
        <v>117</v>
      </c>
      <c r="AD24" s="3"/>
      <c r="AE24" s="3" t="s">
        <v>163</v>
      </c>
    </row>
    <row r="25" spans="1:31">
      <c r="A25" s="3" t="s">
        <v>164</v>
      </c>
      <c r="B25" s="3" t="s">
        <v>113</v>
      </c>
      <c r="C25" s="3" t="s">
        <v>165</v>
      </c>
      <c r="D25" s="3" t="s">
        <v>43</v>
      </c>
      <c r="E25" s="3" t="s">
        <v>44</v>
      </c>
      <c r="F25" s="3" t="s">
        <v>66</v>
      </c>
      <c r="G25" s="10">
        <v>2012</v>
      </c>
      <c r="H25" s="9">
        <v>160000</v>
      </c>
      <c r="I25" s="10">
        <v>1800</v>
      </c>
      <c r="J25" s="3" t="s">
        <v>46</v>
      </c>
      <c r="K25" s="3" t="s">
        <v>47</v>
      </c>
      <c r="L25" s="3" t="s">
        <v>48</v>
      </c>
      <c r="M25" s="3" t="s">
        <v>115</v>
      </c>
      <c r="N25" s="9">
        <v>270000</v>
      </c>
      <c r="O25" s="9">
        <v>334000</v>
      </c>
      <c r="P25" s="23"/>
      <c r="Q25" s="10">
        <f t="shared" si="0"/>
        <v>14</v>
      </c>
      <c r="R25" s="9">
        <f>IF(J25="Хайбрид",INDEX('Онцгой татвар'!$C$6:$F$10,MATCH(I25,'Онцгой татвар'!$B$6:$B$10,1),MATCH(Q25,'Онцгой татвар'!$C$5:$F$5,1)),INDEX('Онцгой татвар'!$C$15:$F$19,MATCH(I25,'Онцгой татвар'!$B$15:$B$19,1),MATCH(Q25,'Онцгой татвар'!$C$14:$F$14,1)))</f>
        <v>5850000</v>
      </c>
      <c r="S25" s="12">
        <f t="shared" si="1"/>
        <v>19752925.5</v>
      </c>
      <c r="T25" s="9">
        <f t="shared" si="2"/>
        <v>21447911.1</v>
      </c>
      <c r="U25" s="12">
        <v>26164000</v>
      </c>
      <c r="V25" s="9">
        <v>25088000</v>
      </c>
      <c r="W25" s="9">
        <v>27204000</v>
      </c>
      <c r="X25" s="9">
        <f t="shared" si="3"/>
        <v>6411074.5</v>
      </c>
      <c r="Y25" s="11">
        <f t="shared" si="4"/>
        <v>0.324563290637632</v>
      </c>
      <c r="Z25" s="9">
        <f t="shared" si="5"/>
        <v>4716088.9</v>
      </c>
      <c r="AA25" s="3" t="s">
        <v>50</v>
      </c>
      <c r="AB25" s="3" t="s">
        <v>166</v>
      </c>
      <c r="AC25" s="3" t="s">
        <v>117</v>
      </c>
      <c r="AD25" s="3"/>
      <c r="AE25" s="3" t="s">
        <v>167</v>
      </c>
    </row>
    <row r="26" spans="1:31">
      <c r="A26" s="3" t="s">
        <v>168</v>
      </c>
      <c r="B26" s="3" t="s">
        <v>169</v>
      </c>
      <c r="C26" s="3" t="s">
        <v>170</v>
      </c>
      <c r="D26" s="3" t="s">
        <v>142</v>
      </c>
      <c r="E26" s="3" t="s">
        <v>143</v>
      </c>
      <c r="F26" s="3" t="s">
        <v>171</v>
      </c>
      <c r="G26" s="10">
        <v>2017</v>
      </c>
      <c r="H26" s="9">
        <v>189000</v>
      </c>
      <c r="I26" s="10">
        <v>1800</v>
      </c>
      <c r="J26" s="3" t="s">
        <v>46</v>
      </c>
      <c r="K26" s="3" t="s">
        <v>47</v>
      </c>
      <c r="L26" s="3" t="s">
        <v>172</v>
      </c>
      <c r="M26" s="3" t="s">
        <v>115</v>
      </c>
      <c r="N26" s="9">
        <v>530000</v>
      </c>
      <c r="O26" s="9">
        <v>687000</v>
      </c>
      <c r="P26" s="23"/>
      <c r="Q26" s="10">
        <f t="shared" si="0"/>
        <v>9</v>
      </c>
      <c r="R26" s="9">
        <f>IF(J26="Хайбрид",INDEX('Онцгой татвар'!$C$6:$F$10,MATCH(I26,'Онцгой татвар'!$B$6:$B$10,1),MATCH(Q26,'Онцгой татвар'!$C$5:$F$5,1)),INDEX('Онцгой татвар'!$C$15:$F$19,MATCH(I26,'Онцгой татвар'!$B$15:$B$19,1),MATCH(Q26,'Онцгой татвар'!$C$14:$F$14,1)))</f>
        <v>2500000</v>
      </c>
      <c r="S26" s="12">
        <f t="shared" si="1"/>
        <v>22769554.5</v>
      </c>
      <c r="T26" s="9">
        <f t="shared" si="2"/>
        <v>26927566.05</v>
      </c>
      <c r="U26" s="12">
        <v>34406000</v>
      </c>
      <c r="V26" s="9">
        <v>32991000</v>
      </c>
      <c r="W26" s="9">
        <v>35775000</v>
      </c>
      <c r="X26" s="9">
        <f t="shared" si="3"/>
        <v>11636445.5</v>
      </c>
      <c r="Y26" s="11">
        <f t="shared" si="4"/>
        <v>0.511052840317978</v>
      </c>
      <c r="Z26" s="9">
        <f t="shared" si="5"/>
        <v>7478433.95</v>
      </c>
      <c r="AA26" s="3" t="s">
        <v>145</v>
      </c>
      <c r="AB26" s="3" t="s">
        <v>173</v>
      </c>
      <c r="AC26" s="3" t="s">
        <v>117</v>
      </c>
      <c r="AD26" s="3"/>
      <c r="AE26" s="3" t="s">
        <v>174</v>
      </c>
    </row>
    <row r="27" spans="1:31">
      <c r="A27" s="3" t="s">
        <v>175</v>
      </c>
      <c r="B27" s="3" t="s">
        <v>154</v>
      </c>
      <c r="C27" s="3" t="s">
        <v>176</v>
      </c>
      <c r="D27" s="3" t="s">
        <v>43</v>
      </c>
      <c r="E27" s="3" t="s">
        <v>44</v>
      </c>
      <c r="F27" s="3" t="s">
        <v>45</v>
      </c>
      <c r="G27" s="10">
        <v>2012</v>
      </c>
      <c r="H27" s="9">
        <v>169000</v>
      </c>
      <c r="I27" s="10">
        <v>1800</v>
      </c>
      <c r="J27" s="3" t="s">
        <v>46</v>
      </c>
      <c r="K27" s="3" t="s">
        <v>47</v>
      </c>
      <c r="L27" s="3" t="s">
        <v>68</v>
      </c>
      <c r="M27" s="3" t="s">
        <v>115</v>
      </c>
      <c r="N27" s="9">
        <v>295000</v>
      </c>
      <c r="O27" s="9">
        <v>429000</v>
      </c>
      <c r="P27" s="23"/>
      <c r="Q27" s="10">
        <f t="shared" si="0"/>
        <v>14</v>
      </c>
      <c r="R27" s="9">
        <f>IF(J27="Хайбрид",INDEX('Онцгой татвар'!$C$6:$F$10,MATCH(I27,'Онцгой татвар'!$B$6:$B$10,1),MATCH(Q27,'Онцгой татвар'!$C$5:$F$5,1)),INDEX('Онцгой татвар'!$C$15:$F$19,MATCH(I27,'Онцгой татвар'!$B$15:$B$19,1),MATCH(Q27,'Онцгой татвар'!$C$14:$F$14,1)))</f>
        <v>5850000</v>
      </c>
      <c r="S27" s="12">
        <f t="shared" si="1"/>
        <v>20415029.25</v>
      </c>
      <c r="T27" s="9">
        <f t="shared" si="2"/>
        <v>23963905.35</v>
      </c>
      <c r="U27" s="12">
        <v>26387000</v>
      </c>
      <c r="V27" s="9">
        <v>25302000</v>
      </c>
      <c r="W27" s="9">
        <v>27436000</v>
      </c>
      <c r="X27" s="9">
        <f t="shared" si="3"/>
        <v>5971970.75</v>
      </c>
      <c r="Y27" s="11">
        <f t="shared" si="4"/>
        <v>0.292528150553593</v>
      </c>
      <c r="Z27" s="9">
        <f t="shared" si="5"/>
        <v>2423094.65</v>
      </c>
      <c r="AA27" s="3" t="s">
        <v>50</v>
      </c>
      <c r="AB27" s="3" t="s">
        <v>177</v>
      </c>
      <c r="AC27" s="3" t="s">
        <v>117</v>
      </c>
      <c r="AD27" s="3"/>
      <c r="AE27" s="3" t="s">
        <v>178</v>
      </c>
    </row>
    <row r="28" spans="1:31">
      <c r="A28" s="3" t="s">
        <v>179</v>
      </c>
      <c r="B28" s="3" t="s">
        <v>113</v>
      </c>
      <c r="C28" s="3" t="s">
        <v>180</v>
      </c>
      <c r="D28" s="3" t="s">
        <v>57</v>
      </c>
      <c r="E28" s="3" t="s">
        <v>58</v>
      </c>
      <c r="F28" s="3" t="s">
        <v>181</v>
      </c>
      <c r="G28" s="10">
        <v>2019</v>
      </c>
      <c r="H28" s="9">
        <v>143000</v>
      </c>
      <c r="I28" s="10">
        <v>2500</v>
      </c>
      <c r="J28" s="3" t="s">
        <v>46</v>
      </c>
      <c r="K28" s="3" t="s">
        <v>105</v>
      </c>
      <c r="L28" s="3" t="s">
        <v>94</v>
      </c>
      <c r="M28" s="3" t="s">
        <v>115</v>
      </c>
      <c r="N28" s="9">
        <v>950000</v>
      </c>
      <c r="O28" s="9">
        <v>1381000</v>
      </c>
      <c r="P28" s="23"/>
      <c r="Q28" s="10">
        <f t="shared" si="0"/>
        <v>7</v>
      </c>
      <c r="R28" s="9">
        <f>IF(J28="Хайбрид",INDEX('Онцгой татвар'!$C$6:$F$10,MATCH(I28,'Онцгой татвар'!$B$6:$B$10,1),MATCH(Q28,'Онцгой татвар'!$C$5:$F$5,1)),INDEX('Онцгой татвар'!$C$15:$F$19,MATCH(I28,'Онцгой татвар'!$B$15:$B$19,1),MATCH(Q28,'Онцгой татвар'!$C$14:$F$14,1)))</f>
        <v>2500000</v>
      </c>
      <c r="S28" s="12">
        <f t="shared" si="1"/>
        <v>33892897.5</v>
      </c>
      <c r="T28" s="9">
        <f t="shared" si="2"/>
        <v>45307566.15</v>
      </c>
      <c r="U28" s="12">
        <v>53395000</v>
      </c>
      <c r="V28" s="9">
        <v>51199000</v>
      </c>
      <c r="W28" s="9">
        <v>55519000</v>
      </c>
      <c r="X28" s="9">
        <f t="shared" si="3"/>
        <v>19502102.5</v>
      </c>
      <c r="Y28" s="11">
        <f t="shared" si="4"/>
        <v>0.575403814324225</v>
      </c>
      <c r="Z28" s="9">
        <f t="shared" si="5"/>
        <v>8087433.85</v>
      </c>
      <c r="AA28" s="3" t="s">
        <v>95</v>
      </c>
      <c r="AB28" s="3" t="s">
        <v>182</v>
      </c>
      <c r="AC28" s="3" t="s">
        <v>117</v>
      </c>
      <c r="AD28" s="3"/>
      <c r="AE28" s="3" t="s">
        <v>183</v>
      </c>
    </row>
    <row r="29" spans="1:31">
      <c r="A29" s="3" t="s">
        <v>184</v>
      </c>
      <c r="B29" s="3" t="s">
        <v>185</v>
      </c>
      <c r="C29" s="3" t="s">
        <v>186</v>
      </c>
      <c r="D29" s="3" t="s">
        <v>43</v>
      </c>
      <c r="E29" s="3" t="s">
        <v>44</v>
      </c>
      <c r="F29" s="3" t="s">
        <v>66</v>
      </c>
      <c r="G29" s="10">
        <v>2014</v>
      </c>
      <c r="H29" s="9">
        <v>98000</v>
      </c>
      <c r="I29" s="10">
        <v>1800</v>
      </c>
      <c r="J29" s="3" t="s">
        <v>46</v>
      </c>
      <c r="K29" s="3" t="s">
        <v>67</v>
      </c>
      <c r="L29" s="3" t="s">
        <v>48</v>
      </c>
      <c r="M29" s="3" t="s">
        <v>115</v>
      </c>
      <c r="N29" s="9">
        <v>300000</v>
      </c>
      <c r="O29" s="9">
        <v>423000</v>
      </c>
      <c r="P29" s="23"/>
      <c r="Q29" s="10">
        <f t="shared" si="0"/>
        <v>12</v>
      </c>
      <c r="R29" s="9">
        <f>IF(J29="Хайбрид",INDEX('Онцгой татвар'!$C$6:$F$10,MATCH(I29,'Онцгой татвар'!$B$6:$B$10,1),MATCH(Q29,'Онцгой татвар'!$C$5:$F$5,1)),INDEX('Онцгой татвар'!$C$15:$F$19,MATCH(I29,'Онцгой татвар'!$B$15:$B$19,1),MATCH(Q29,'Онцгой татвар'!$C$14:$F$14,1)))</f>
        <v>5850000</v>
      </c>
      <c r="S29" s="12">
        <f t="shared" si="1"/>
        <v>20547450</v>
      </c>
      <c r="T29" s="9">
        <f t="shared" si="2"/>
        <v>23805000.45</v>
      </c>
      <c r="U29" s="12">
        <v>30251000</v>
      </c>
      <c r="V29" s="9">
        <v>29006000</v>
      </c>
      <c r="W29" s="9">
        <v>31454000</v>
      </c>
      <c r="X29" s="9">
        <f t="shared" si="3"/>
        <v>9703550</v>
      </c>
      <c r="Y29" s="11">
        <f t="shared" si="4"/>
        <v>0.472250814577965</v>
      </c>
      <c r="Z29" s="9">
        <f t="shared" si="5"/>
        <v>6445999.55</v>
      </c>
      <c r="AA29" s="3" t="s">
        <v>122</v>
      </c>
      <c r="AB29" s="3" t="s">
        <v>187</v>
      </c>
      <c r="AC29" s="3" t="s">
        <v>117</v>
      </c>
      <c r="AD29" s="3"/>
      <c r="AE29" s="3" t="s">
        <v>188</v>
      </c>
    </row>
    <row r="30" spans="1:31">
      <c r="A30" s="3" t="s">
        <v>189</v>
      </c>
      <c r="B30" s="3" t="s">
        <v>190</v>
      </c>
      <c r="C30" s="3" t="s">
        <v>191</v>
      </c>
      <c r="D30" s="3" t="s">
        <v>43</v>
      </c>
      <c r="E30" s="3" t="s">
        <v>44</v>
      </c>
      <c r="F30" s="3" t="s">
        <v>66</v>
      </c>
      <c r="G30" s="10">
        <v>2012</v>
      </c>
      <c r="H30" s="9">
        <v>209000</v>
      </c>
      <c r="I30" s="10">
        <v>1800</v>
      </c>
      <c r="J30" s="3" t="s">
        <v>46</v>
      </c>
      <c r="K30" s="3" t="s">
        <v>47</v>
      </c>
      <c r="L30" s="3" t="s">
        <v>121</v>
      </c>
      <c r="M30" s="3" t="s">
        <v>192</v>
      </c>
      <c r="N30" s="9">
        <v>220000</v>
      </c>
      <c r="O30" s="9"/>
      <c r="P30" s="23"/>
      <c r="Q30" s="10">
        <f t="shared" si="0"/>
        <v>14</v>
      </c>
      <c r="R30" s="9">
        <f>IF(J30="Хайбрид",INDEX('Онцгой татвар'!$C$6:$F$10,MATCH(I30,'Онцгой татвар'!$B$6:$B$10,1),MATCH(Q30,'Онцгой татвар'!$C$5:$F$5,1)),INDEX('Онцгой татвар'!$C$15:$F$19,MATCH(I30,'Онцгой татвар'!$B$15:$B$19,1),MATCH(Q30,'Онцгой татвар'!$C$14:$F$14,1)))</f>
        <v>5850000</v>
      </c>
      <c r="S30" s="12">
        <f t="shared" si="1"/>
        <v>18428718</v>
      </c>
      <c r="T30" s="9" t="str">
        <f t="shared" si="2"/>
        <v/>
      </c>
      <c r="U30" s="12">
        <v>24522000</v>
      </c>
      <c r="V30" s="9">
        <v>23514000</v>
      </c>
      <c r="W30" s="9">
        <v>25498000</v>
      </c>
      <c r="X30" s="9">
        <f t="shared" si="3"/>
        <v>6093282</v>
      </c>
      <c r="Y30" s="11">
        <f t="shared" si="4"/>
        <v>0.330640579556321</v>
      </c>
      <c r="Z30" s="9" t="str">
        <f t="shared" si="5"/>
        <v/>
      </c>
      <c r="AA30" s="3" t="s">
        <v>50</v>
      </c>
      <c r="AB30" s="3" t="s">
        <v>193</v>
      </c>
      <c r="AC30" s="3" t="s">
        <v>117</v>
      </c>
      <c r="AD30" s="3"/>
      <c r="AE30" s="3" t="s">
        <v>194</v>
      </c>
    </row>
    <row r="31" spans="1:31">
      <c r="A31" s="3" t="s">
        <v>195</v>
      </c>
      <c r="B31" s="3" t="s">
        <v>196</v>
      </c>
      <c r="C31" s="3" t="s">
        <v>197</v>
      </c>
      <c r="D31" s="3" t="s">
        <v>43</v>
      </c>
      <c r="E31" s="3" t="s">
        <v>44</v>
      </c>
      <c r="F31" s="3" t="s">
        <v>128</v>
      </c>
      <c r="G31" s="10">
        <v>2014</v>
      </c>
      <c r="H31" s="9">
        <v>140000</v>
      </c>
      <c r="I31" s="10">
        <v>1800</v>
      </c>
      <c r="J31" s="3" t="s">
        <v>46</v>
      </c>
      <c r="K31" s="3" t="s">
        <v>67</v>
      </c>
      <c r="L31" s="3" t="s">
        <v>94</v>
      </c>
      <c r="M31" s="3" t="s">
        <v>115</v>
      </c>
      <c r="N31" s="9">
        <v>220000</v>
      </c>
      <c r="O31" s="9">
        <v>311000</v>
      </c>
      <c r="P31" s="23"/>
      <c r="Q31" s="10">
        <f t="shared" si="0"/>
        <v>12</v>
      </c>
      <c r="R31" s="9">
        <f>IF(J31="Хайбрид",INDEX('Онцгой татвар'!$C$6:$F$10,MATCH(I31,'Онцгой татвар'!$B$6:$B$10,1),MATCH(Q31,'Онцгой татвар'!$C$5:$F$5,1)),INDEX('Онцгой татвар'!$C$15:$F$19,MATCH(I31,'Онцгой татвар'!$B$15:$B$19,1),MATCH(Q31,'Онцгой татвар'!$C$14:$F$14,1)))</f>
        <v>5850000</v>
      </c>
      <c r="S31" s="12">
        <f t="shared" si="1"/>
        <v>18428718</v>
      </c>
      <c r="T31" s="9">
        <f t="shared" si="2"/>
        <v>20838775.65</v>
      </c>
      <c r="U31" s="12">
        <v>27823000</v>
      </c>
      <c r="V31" s="9">
        <v>26679000</v>
      </c>
      <c r="W31" s="9">
        <v>28930000</v>
      </c>
      <c r="X31" s="9">
        <f t="shared" si="3"/>
        <v>9394282</v>
      </c>
      <c r="Y31" s="11">
        <f t="shared" si="4"/>
        <v>0.509763185914506</v>
      </c>
      <c r="Z31" s="9">
        <f t="shared" si="5"/>
        <v>6984224.35</v>
      </c>
      <c r="AA31" s="3" t="s">
        <v>122</v>
      </c>
      <c r="AB31" s="3" t="s">
        <v>198</v>
      </c>
      <c r="AC31" s="3" t="s">
        <v>117</v>
      </c>
      <c r="AD31" s="3"/>
      <c r="AE31" s="3" t="s">
        <v>199</v>
      </c>
    </row>
    <row r="32" spans="1:31">
      <c r="A32" s="3" t="s">
        <v>200</v>
      </c>
      <c r="B32" s="3" t="s">
        <v>201</v>
      </c>
      <c r="C32" s="3" t="s">
        <v>202</v>
      </c>
      <c r="D32" s="3" t="s">
        <v>43</v>
      </c>
      <c r="E32" s="3" t="s">
        <v>44</v>
      </c>
      <c r="F32" s="3" t="s">
        <v>128</v>
      </c>
      <c r="G32" s="10">
        <v>2013</v>
      </c>
      <c r="H32" s="9">
        <v>163000</v>
      </c>
      <c r="I32" s="10">
        <v>1800</v>
      </c>
      <c r="J32" s="3" t="s">
        <v>46</v>
      </c>
      <c r="K32" s="3" t="s">
        <v>47</v>
      </c>
      <c r="L32" s="3" t="s">
        <v>68</v>
      </c>
      <c r="M32" s="3" t="s">
        <v>115</v>
      </c>
      <c r="N32" s="9">
        <v>285000</v>
      </c>
      <c r="O32" s="9">
        <v>365000</v>
      </c>
      <c r="P32" s="23"/>
      <c r="Q32" s="10">
        <f t="shared" si="0"/>
        <v>13</v>
      </c>
      <c r="R32" s="9">
        <f>IF(J32="Хайбрид",INDEX('Онцгой татвар'!$C$6:$F$10,MATCH(I32,'Онцгой татвар'!$B$6:$B$10,1),MATCH(Q32,'Онцгой татвар'!$C$5:$F$5,1)),INDEX('Онцгой татвар'!$C$15:$F$19,MATCH(I32,'Онцгой татвар'!$B$15:$B$19,1),MATCH(Q32,'Онцгой татвар'!$C$14:$F$14,1)))</f>
        <v>5850000</v>
      </c>
      <c r="S32" s="12">
        <f t="shared" si="1"/>
        <v>20150187.75</v>
      </c>
      <c r="T32" s="9">
        <f t="shared" si="2"/>
        <v>22268919.75</v>
      </c>
      <c r="U32" s="12">
        <v>26726000</v>
      </c>
      <c r="V32" s="9">
        <v>25627000</v>
      </c>
      <c r="W32" s="9">
        <v>27789000</v>
      </c>
      <c r="X32" s="9">
        <f t="shared" si="3"/>
        <v>6575812.25</v>
      </c>
      <c r="Y32" s="11">
        <f t="shared" si="4"/>
        <v>0.326339998990828</v>
      </c>
      <c r="Z32" s="9">
        <f t="shared" si="5"/>
        <v>4457080.25</v>
      </c>
      <c r="AA32" s="3" t="s">
        <v>69</v>
      </c>
      <c r="AB32" s="3" t="s">
        <v>203</v>
      </c>
      <c r="AC32" s="3" t="s">
        <v>117</v>
      </c>
      <c r="AD32" s="3"/>
      <c r="AE32" s="3" t="s">
        <v>204</v>
      </c>
    </row>
    <row r="33" spans="1:31">
      <c r="A33" s="3" t="s">
        <v>205</v>
      </c>
      <c r="B33" s="3" t="s">
        <v>190</v>
      </c>
      <c r="C33" s="3" t="s">
        <v>206</v>
      </c>
      <c r="D33" s="3" t="s">
        <v>43</v>
      </c>
      <c r="E33" s="3" t="s">
        <v>44</v>
      </c>
      <c r="F33" s="3" t="s">
        <v>45</v>
      </c>
      <c r="G33" s="10">
        <v>2014</v>
      </c>
      <c r="H33" s="9">
        <v>119000</v>
      </c>
      <c r="I33" s="10">
        <v>1800</v>
      </c>
      <c r="J33" s="3" t="s">
        <v>46</v>
      </c>
      <c r="K33" s="3" t="s">
        <v>47</v>
      </c>
      <c r="L33" s="3" t="s">
        <v>94</v>
      </c>
      <c r="M33" s="3" t="s">
        <v>115</v>
      </c>
      <c r="N33" s="9">
        <v>280000</v>
      </c>
      <c r="O33" s="9">
        <v>450000</v>
      </c>
      <c r="P33" s="23"/>
      <c r="Q33" s="10">
        <f t="shared" si="0"/>
        <v>12</v>
      </c>
      <c r="R33" s="9">
        <f>IF(J33="Хайбрид",INDEX('Онцгой татвар'!$C$6:$F$10,MATCH(I33,'Онцгой татвар'!$B$6:$B$10,1),MATCH(Q33,'Онцгой татвар'!$C$5:$F$5,1)),INDEX('Онцгой татвар'!$C$15:$F$19,MATCH(I33,'Онцгой татвар'!$B$15:$B$19,1),MATCH(Q33,'Онцгой татвар'!$C$14:$F$14,1)))</f>
        <v>5850000</v>
      </c>
      <c r="S33" s="12">
        <f t="shared" si="1"/>
        <v>20017767</v>
      </c>
      <c r="T33" s="9">
        <f t="shared" si="2"/>
        <v>24520072.5</v>
      </c>
      <c r="U33" s="12">
        <v>28311000</v>
      </c>
      <c r="V33" s="9">
        <v>27147000</v>
      </c>
      <c r="W33" s="9">
        <v>29437000</v>
      </c>
      <c r="X33" s="9">
        <f t="shared" si="3"/>
        <v>8293233</v>
      </c>
      <c r="Y33" s="11">
        <f t="shared" si="4"/>
        <v>0.41429361226954</v>
      </c>
      <c r="Z33" s="9">
        <f t="shared" si="5"/>
        <v>3790927.5</v>
      </c>
      <c r="AA33" s="3" t="s">
        <v>122</v>
      </c>
      <c r="AB33" s="3" t="s">
        <v>207</v>
      </c>
      <c r="AC33" s="3" t="s">
        <v>117</v>
      </c>
      <c r="AD33" s="3"/>
      <c r="AE33" s="3" t="s">
        <v>208</v>
      </c>
    </row>
    <row r="34" spans="1:31">
      <c r="A34" s="3" t="s">
        <v>209</v>
      </c>
      <c r="B34" s="3" t="s">
        <v>185</v>
      </c>
      <c r="C34" s="3" t="s">
        <v>210</v>
      </c>
      <c r="D34" s="3" t="s">
        <v>43</v>
      </c>
      <c r="E34" s="3" t="s">
        <v>44</v>
      </c>
      <c r="F34" s="3" t="s">
        <v>211</v>
      </c>
      <c r="G34" s="10">
        <v>2012</v>
      </c>
      <c r="H34" s="9">
        <v>100000</v>
      </c>
      <c r="I34" s="10">
        <v>1800</v>
      </c>
      <c r="J34" s="3" t="s">
        <v>46</v>
      </c>
      <c r="K34" s="3" t="s">
        <v>105</v>
      </c>
      <c r="L34" s="3" t="s">
        <v>68</v>
      </c>
      <c r="M34" s="3" t="s">
        <v>115</v>
      </c>
      <c r="N34" s="9">
        <v>301000</v>
      </c>
      <c r="O34" s="9">
        <v>443000</v>
      </c>
      <c r="P34" s="23"/>
      <c r="Q34" s="10">
        <f t="shared" si="0"/>
        <v>14</v>
      </c>
      <c r="R34" s="9">
        <f>IF(J34="Хайбрид",INDEX('Онцгой татвар'!$C$6:$F$10,MATCH(I34,'Онцгой татвар'!$B$6:$B$10,1),MATCH(Q34,'Онцгой татвар'!$C$5:$F$5,1)),INDEX('Онцгой татвар'!$C$15:$F$19,MATCH(I34,'Онцгой татвар'!$B$15:$B$19,1),MATCH(Q34,'Онцгой татвар'!$C$14:$F$14,1)))</f>
        <v>5850000</v>
      </c>
      <c r="S34" s="12">
        <f t="shared" si="1"/>
        <v>20573934.15</v>
      </c>
      <c r="T34" s="9">
        <f t="shared" si="2"/>
        <v>24334683.45</v>
      </c>
      <c r="U34" s="12">
        <v>26516000</v>
      </c>
      <c r="V34" s="9">
        <v>25425000</v>
      </c>
      <c r="W34" s="9">
        <v>27570000</v>
      </c>
      <c r="X34" s="9">
        <f t="shared" si="3"/>
        <v>5942065.85</v>
      </c>
      <c r="Y34" s="11">
        <f t="shared" si="4"/>
        <v>0.288815245867791</v>
      </c>
      <c r="Z34" s="9">
        <f t="shared" si="5"/>
        <v>2181316.55</v>
      </c>
      <c r="AA34" s="3" t="s">
        <v>50</v>
      </c>
      <c r="AB34" s="3" t="s">
        <v>212</v>
      </c>
      <c r="AC34" s="3" t="s">
        <v>117</v>
      </c>
      <c r="AD34" s="3"/>
      <c r="AE34" s="3" t="s">
        <v>213</v>
      </c>
    </row>
    <row r="35" spans="1:31">
      <c r="A35" s="3" t="s">
        <v>214</v>
      </c>
      <c r="B35" s="3" t="s">
        <v>196</v>
      </c>
      <c r="C35" s="3" t="s">
        <v>215</v>
      </c>
      <c r="D35" s="3" t="s">
        <v>43</v>
      </c>
      <c r="E35" s="3" t="s">
        <v>44</v>
      </c>
      <c r="F35" s="3" t="s">
        <v>80</v>
      </c>
      <c r="G35" s="10">
        <v>2012</v>
      </c>
      <c r="H35" s="9">
        <v>177000</v>
      </c>
      <c r="I35" s="10">
        <v>1800</v>
      </c>
      <c r="J35" s="3" t="s">
        <v>46</v>
      </c>
      <c r="K35" s="3" t="s">
        <v>47</v>
      </c>
      <c r="L35" s="3" t="s">
        <v>172</v>
      </c>
      <c r="M35" s="3" t="s">
        <v>115</v>
      </c>
      <c r="N35" s="9">
        <v>290000</v>
      </c>
      <c r="O35" s="9">
        <v>410000</v>
      </c>
      <c r="P35" s="23"/>
      <c r="Q35" s="10">
        <f t="shared" si="0"/>
        <v>14</v>
      </c>
      <c r="R35" s="9">
        <f>IF(J35="Хайбрид",INDEX('Онцгой татвар'!$C$6:$F$10,MATCH(I35,'Онцгой татвар'!$B$6:$B$10,1),MATCH(Q35,'Онцгой татвар'!$C$5:$F$5,1)),INDEX('Онцгой татвар'!$C$15:$F$19,MATCH(I35,'Онцгой татвар'!$B$15:$B$19,1),MATCH(Q35,'Онцгой татвар'!$C$14:$F$14,1)))</f>
        <v>5850000</v>
      </c>
      <c r="S35" s="12">
        <f t="shared" si="1"/>
        <v>20282608.5</v>
      </c>
      <c r="T35" s="9">
        <f t="shared" si="2"/>
        <v>23460706.5</v>
      </c>
      <c r="U35" s="12">
        <v>25937000</v>
      </c>
      <c r="V35" s="9">
        <v>24870000</v>
      </c>
      <c r="W35" s="9">
        <v>26968000</v>
      </c>
      <c r="X35" s="9">
        <f t="shared" si="3"/>
        <v>5654391.5</v>
      </c>
      <c r="Y35" s="11">
        <f t="shared" si="4"/>
        <v>0.278780291006455</v>
      </c>
      <c r="Z35" s="9">
        <f t="shared" si="5"/>
        <v>2476293.5</v>
      </c>
      <c r="AA35" s="3" t="s">
        <v>50</v>
      </c>
      <c r="AB35" s="3" t="s">
        <v>216</v>
      </c>
      <c r="AC35" s="3" t="s">
        <v>117</v>
      </c>
      <c r="AD35" s="3"/>
      <c r="AE35" s="3" t="s">
        <v>217</v>
      </c>
    </row>
    <row r="36" spans="1:31">
      <c r="A36" s="3" t="s">
        <v>218</v>
      </c>
      <c r="B36" s="3" t="s">
        <v>219</v>
      </c>
      <c r="C36" s="3" t="s">
        <v>220</v>
      </c>
      <c r="D36" s="3" t="s">
        <v>43</v>
      </c>
      <c r="E36" s="3" t="s">
        <v>44</v>
      </c>
      <c r="F36" s="3" t="s">
        <v>66</v>
      </c>
      <c r="G36" s="10">
        <v>2013</v>
      </c>
      <c r="H36" s="9">
        <v>107000</v>
      </c>
      <c r="I36" s="10">
        <v>1800</v>
      </c>
      <c r="J36" s="3" t="s">
        <v>46</v>
      </c>
      <c r="K36" s="3" t="s">
        <v>221</v>
      </c>
      <c r="L36" s="3" t="s">
        <v>48</v>
      </c>
      <c r="M36" s="3" t="s">
        <v>115</v>
      </c>
      <c r="N36" s="9">
        <v>280000</v>
      </c>
      <c r="O36" s="9">
        <v>331000</v>
      </c>
      <c r="P36" s="23"/>
      <c r="Q36" s="10">
        <f t="shared" si="0"/>
        <v>13</v>
      </c>
      <c r="R36" s="9">
        <f>IF(J36="Хайбрид",INDEX('Онцгой татвар'!$C$6:$F$10,MATCH(I36,'Онцгой татвар'!$B$6:$B$10,1),MATCH(Q36,'Онцгой татвар'!$C$5:$F$5,1)),INDEX('Онцгой татвар'!$C$15:$F$19,MATCH(I36,'Онцгой татвар'!$B$15:$B$19,1),MATCH(Q36,'Онцгой татвар'!$C$14:$F$14,1)))</f>
        <v>5850000</v>
      </c>
      <c r="S36" s="12">
        <f t="shared" si="1"/>
        <v>20017767</v>
      </c>
      <c r="T36" s="9">
        <f t="shared" si="2"/>
        <v>21368458.65</v>
      </c>
      <c r="U36" s="12">
        <v>26903000</v>
      </c>
      <c r="V36" s="9">
        <v>25796000</v>
      </c>
      <c r="W36" s="9">
        <v>27973000</v>
      </c>
      <c r="X36" s="9">
        <f t="shared" si="3"/>
        <v>6885233</v>
      </c>
      <c r="Y36" s="11">
        <f t="shared" si="4"/>
        <v>0.343956096601584</v>
      </c>
      <c r="Z36" s="9">
        <f t="shared" si="5"/>
        <v>5534541.35</v>
      </c>
      <c r="AA36" s="3" t="s">
        <v>69</v>
      </c>
      <c r="AB36" s="3" t="s">
        <v>222</v>
      </c>
      <c r="AC36" s="3" t="s">
        <v>117</v>
      </c>
      <c r="AD36" s="3"/>
      <c r="AE36" s="3" t="s">
        <v>223</v>
      </c>
    </row>
    <row r="37" spans="1:31">
      <c r="A37" s="3" t="s">
        <v>224</v>
      </c>
      <c r="B37" s="3" t="s">
        <v>219</v>
      </c>
      <c r="C37" s="3" t="s">
        <v>225</v>
      </c>
      <c r="D37" s="3" t="s">
        <v>43</v>
      </c>
      <c r="E37" s="3" t="s">
        <v>44</v>
      </c>
      <c r="F37" s="3" t="s">
        <v>80</v>
      </c>
      <c r="G37" s="10">
        <v>2012</v>
      </c>
      <c r="H37" s="9">
        <v>100000</v>
      </c>
      <c r="I37" s="10">
        <v>1800</v>
      </c>
      <c r="J37" s="3" t="s">
        <v>46</v>
      </c>
      <c r="K37" s="3" t="s">
        <v>67</v>
      </c>
      <c r="L37" s="3" t="s">
        <v>94</v>
      </c>
      <c r="M37" s="3" t="s">
        <v>192</v>
      </c>
      <c r="N37" s="9">
        <v>275000</v>
      </c>
      <c r="O37" s="9"/>
      <c r="P37" s="23"/>
      <c r="Q37" s="10">
        <f t="shared" si="0"/>
        <v>14</v>
      </c>
      <c r="R37" s="9">
        <f>IF(J37="Хайбрид",INDEX('Онцгой татвар'!$C$6:$F$10,MATCH(I37,'Онцгой татвар'!$B$6:$B$10,1),MATCH(Q37,'Онцгой татвар'!$C$5:$F$5,1)),INDEX('Онцгой татвар'!$C$15:$F$19,MATCH(I37,'Онцгой татвар'!$B$15:$B$19,1),MATCH(Q37,'Онцгой татвар'!$C$14:$F$14,1)))</f>
        <v>5850000</v>
      </c>
      <c r="S37" s="12">
        <f t="shared" si="1"/>
        <v>19885346.25</v>
      </c>
      <c r="T37" s="9" t="str">
        <f t="shared" si="2"/>
        <v/>
      </c>
      <c r="U37" s="12">
        <v>25763000</v>
      </c>
      <c r="V37" s="9">
        <v>24704000</v>
      </c>
      <c r="W37" s="9">
        <v>26788000</v>
      </c>
      <c r="X37" s="9">
        <f t="shared" si="3"/>
        <v>5877653.75</v>
      </c>
      <c r="Y37" s="11">
        <f t="shared" si="4"/>
        <v>0.295577138869282</v>
      </c>
      <c r="Z37" s="9" t="str">
        <f t="shared" si="5"/>
        <v/>
      </c>
      <c r="AA37" s="3" t="s">
        <v>50</v>
      </c>
      <c r="AB37" s="3" t="s">
        <v>226</v>
      </c>
      <c r="AC37" s="3" t="s">
        <v>117</v>
      </c>
      <c r="AD37" s="3"/>
      <c r="AE37" s="3" t="s">
        <v>227</v>
      </c>
    </row>
    <row r="38" spans="1:31">
      <c r="A38" s="3" t="s">
        <v>228</v>
      </c>
      <c r="B38" s="3" t="s">
        <v>229</v>
      </c>
      <c r="C38" s="3" t="s">
        <v>230</v>
      </c>
      <c r="D38" s="3" t="s">
        <v>43</v>
      </c>
      <c r="E38" s="3" t="s">
        <v>44</v>
      </c>
      <c r="F38" s="3" t="s">
        <v>128</v>
      </c>
      <c r="G38" s="10">
        <v>2013</v>
      </c>
      <c r="H38" s="9">
        <v>152000</v>
      </c>
      <c r="I38" s="10">
        <v>1800</v>
      </c>
      <c r="J38" s="3" t="s">
        <v>46</v>
      </c>
      <c r="K38" s="3" t="s">
        <v>47</v>
      </c>
      <c r="L38" s="3" t="s">
        <v>68</v>
      </c>
      <c r="M38" s="3" t="s">
        <v>115</v>
      </c>
      <c r="N38" s="9">
        <v>285000</v>
      </c>
      <c r="O38" s="9">
        <v>442000</v>
      </c>
      <c r="P38" s="23"/>
      <c r="Q38" s="10">
        <f t="shared" si="0"/>
        <v>13</v>
      </c>
      <c r="R38" s="9">
        <f>IF(J38="Хайбрид",INDEX('Онцгой татвар'!$C$6:$F$10,MATCH(I38,'Онцгой татвар'!$B$6:$B$10,1),MATCH(Q38,'Онцгой татвар'!$C$5:$F$5,1)),INDEX('Онцгой татвар'!$C$15:$F$19,MATCH(I38,'Онцгой татвар'!$B$15:$B$19,1),MATCH(Q38,'Онцгой татвар'!$C$14:$F$14,1)))</f>
        <v>5850000</v>
      </c>
      <c r="S38" s="12">
        <f t="shared" si="1"/>
        <v>20150187.75</v>
      </c>
      <c r="T38" s="9">
        <f t="shared" si="2"/>
        <v>24308199.3</v>
      </c>
      <c r="U38" s="12">
        <v>26812000</v>
      </c>
      <c r="V38" s="9">
        <v>25709000</v>
      </c>
      <c r="W38" s="9">
        <v>27879000</v>
      </c>
      <c r="X38" s="9">
        <f t="shared" si="3"/>
        <v>6661812.25</v>
      </c>
      <c r="Y38" s="11">
        <f t="shared" si="4"/>
        <v>0.33060794929814</v>
      </c>
      <c r="Z38" s="9">
        <f t="shared" si="5"/>
        <v>2503800.7</v>
      </c>
      <c r="AA38" s="3" t="s">
        <v>69</v>
      </c>
      <c r="AB38" s="3" t="s">
        <v>231</v>
      </c>
      <c r="AC38" s="3" t="s">
        <v>117</v>
      </c>
      <c r="AD38" s="3"/>
      <c r="AE38" s="3" t="s">
        <v>232</v>
      </c>
    </row>
  </sheetData>
  <autoFilter xmlns:etc="http://www.wps.cn/officeDocument/2017/etCustomData" ref="A5:AE38" etc:filterBottomFollowUsedRange="0">
    <extLst/>
  </autoFilter>
  <conditionalFormatting sqref="X6:X38">
    <cfRule type="cellIs" dxfId="0" priority="1" operator="greaterThan">
      <formula>0</formula>
    </cfRule>
    <cfRule type="cellIs" dxfId="1" priority="2" operator="lessThan">
      <formula>0</formula>
    </cfRule>
  </conditionalFormatting>
  <conditionalFormatting sqref="Y6:Y38">
    <cfRule type="cellIs" dxfId="0" priority="3" operator="greaterThan">
      <formula>0</formula>
    </cfRule>
    <cfRule type="cellIs" dxfId="1" priority="4" operator="lessThan">
      <formula>0</formula>
    </cfRule>
  </conditionalFormatting>
  <conditionalFormatting sqref="Z6:Z38">
    <cfRule type="cellIs" dxfId="0" priority="5" operator="greaterThan">
      <formula>0</formula>
    </cfRule>
    <cfRule type="cellIs" dxfId="1" priority="6" operator="lessThan">
      <formula>0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8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/>
  <cols>
    <col min="1" max="1" width="16" customWidth="1"/>
    <col min="2" max="2" width="14" customWidth="1"/>
    <col min="3" max="3" width="8" customWidth="1"/>
    <col min="4" max="4" width="13" customWidth="1"/>
    <col min="5" max="5" width="20" customWidth="1"/>
    <col min="6" max="6" width="6" customWidth="1"/>
    <col min="7" max="7" width="10" customWidth="1"/>
    <col min="8" max="8" width="6" customWidth="1"/>
    <col min="9" max="9" width="13" customWidth="1"/>
    <col min="10" max="10" width="12" customWidth="1"/>
    <col min="11" max="11" width="13" customWidth="1"/>
    <col min="12" max="12" width="11" customWidth="1"/>
    <col min="13" max="13" width="9" customWidth="1"/>
    <col min="14" max="15" width="15" customWidth="1"/>
    <col min="16" max="16" width="16" customWidth="1"/>
    <col min="17" max="17" width="15" customWidth="1"/>
    <col min="18" max="18" width="12" customWidth="1"/>
    <col min="19" max="19" width="14" customWidth="1"/>
    <col min="20" max="20" width="16" customWidth="1"/>
  </cols>
  <sheetData>
    <row r="1" ht="18.75" spans="1:20">
      <c r="A1" s="5" t="s">
        <v>233</v>
      </c>
    </row>
    <row r="2" spans="1:20">
      <c r="A2" s="6" t="s">
        <v>234</v>
      </c>
    </row>
    <row r="4" ht="42" customHeight="1" spans="1:20">
      <c r="A4" s="7" t="s">
        <v>9</v>
      </c>
      <c r="B4" s="7" t="s">
        <v>10</v>
      </c>
      <c r="C4" s="7" t="s">
        <v>11</v>
      </c>
      <c r="D4" s="8" t="s">
        <v>12</v>
      </c>
      <c r="E4" s="7" t="s">
        <v>14</v>
      </c>
      <c r="F4" s="7" t="s">
        <v>15</v>
      </c>
      <c r="G4" s="7" t="s">
        <v>16</v>
      </c>
      <c r="H4" s="7" t="s">
        <v>19</v>
      </c>
      <c r="I4" s="7" t="s">
        <v>20</v>
      </c>
      <c r="J4" s="7" t="s">
        <v>22</v>
      </c>
      <c r="K4" s="7" t="s">
        <v>235</v>
      </c>
      <c r="L4" s="7" t="s">
        <v>236</v>
      </c>
      <c r="M4" s="7" t="s">
        <v>237</v>
      </c>
      <c r="N4" s="7" t="s">
        <v>27</v>
      </c>
      <c r="O4" s="7" t="s">
        <v>238</v>
      </c>
      <c r="P4" s="8" t="s">
        <v>29</v>
      </c>
      <c r="Q4" s="7" t="s">
        <v>239</v>
      </c>
      <c r="R4" s="7" t="s">
        <v>240</v>
      </c>
      <c r="S4" s="7" t="s">
        <v>32</v>
      </c>
      <c r="T4" s="8" t="s">
        <v>35</v>
      </c>
    </row>
    <row r="5" spans="1:20">
      <c r="A5" s="9" t="str">
        <f>IF('Бүх машин'!A16="","",'Бүх машин'!A16)</f>
        <v>2026/10/06 12:38</v>
      </c>
      <c r="B5" s="9" t="str">
        <f>IF('Бүх машин'!B16="","",'Бүх машин'!B16)</f>
        <v>TAA Kinki</v>
      </c>
      <c r="C5" s="9" t="str">
        <f>IF('Бүх машин'!C16="","",'Бүх машин'!C16)</f>
        <v>70060</v>
      </c>
      <c r="D5" s="9" t="str">
        <f>IF('Бүх машин'!D16="","",'Бүх машин'!D16)</f>
        <v>Camry</v>
      </c>
      <c r="E5" s="9" t="str">
        <f>IF('Бүх машин'!F16="","",'Бүх машин'!F16)</f>
        <v>G</v>
      </c>
      <c r="F5" s="10">
        <f>IF('Бүх машин'!G16="","",'Бүх машин'!G16)</f>
        <v>2017</v>
      </c>
      <c r="G5" s="9">
        <f>IF('Бүх машин'!H16="","",'Бүх машин'!H16)</f>
        <v>111000</v>
      </c>
      <c r="H5" s="9" t="str">
        <f>IF('Бүх машин'!K16="","",'Бүх машин'!K16)</f>
        <v>3.5</v>
      </c>
      <c r="I5" s="9" t="str">
        <f>IF('Бүх машин'!L16="","",'Бүх машин'!L16)</f>
        <v>сувдан цагаан</v>
      </c>
      <c r="J5" s="9">
        <f>IF('Бүх машин'!N16="","",'Бүх машин'!N16)</f>
        <v>980000</v>
      </c>
      <c r="K5" s="9">
        <f>IF('Бүх машин'!O16="","",'Бүх машин'!O16)</f>
        <v>1294000</v>
      </c>
      <c r="L5" s="9">
        <f t="shared" ref="L5:L25" si="0">K5-J5</f>
        <v>314000</v>
      </c>
      <c r="M5" s="11">
        <f t="shared" ref="M5:M25" si="1">L5/J5</f>
        <v>0.320408163265306</v>
      </c>
      <c r="N5" s="9">
        <f>IF('Бүх машин'!S16="","",'Бүх машин'!S16)</f>
        <v>34687422</v>
      </c>
      <c r="O5" s="9">
        <f>IF('Бүх машин'!T16="","",'Бүх машин'!T16)</f>
        <v>43003445.1</v>
      </c>
      <c r="P5" s="9">
        <f>IF('Бүх машин'!U16="","",'Бүх машин'!U16)</f>
        <v>46298000</v>
      </c>
      <c r="Q5" s="12">
        <f>IF('Бүх машин'!Z16="","",'Бүх машин'!Z16)</f>
        <v>3294554.9</v>
      </c>
      <c r="R5" s="11">
        <f t="shared" ref="R5:R25" si="2">IF(Q5="","",Q5/O5)</f>
        <v>0.0766114178140578</v>
      </c>
      <c r="S5" s="9">
        <f>IF('Бүх машин'!X16="","",'Бүх машин'!X16)</f>
        <v>11610578</v>
      </c>
      <c r="T5" s="9" t="str">
        <f>IF('Бүх машин'!AA16="","",'Бүх машин'!AA16)</f>
        <v>Дунд (15 зар)</v>
      </c>
    </row>
    <row r="6" spans="1:20">
      <c r="A6" s="9" t="str">
        <f>IF('Бүх машин'!A17="","",'Бүх машин'!A17)</f>
        <v>2026/10/06 12:21</v>
      </c>
      <c r="B6" s="9" t="str">
        <f>IF('Бүх машин'!B17="","",'Бүх машин'!B17)</f>
        <v>TAA Kinki</v>
      </c>
      <c r="C6" s="9" t="str">
        <f>IF('Бүх машин'!C17="","",'Бүх машин'!C17)</f>
        <v>665</v>
      </c>
      <c r="D6" s="9" t="str">
        <f>IF('Бүх машин'!D17="","",'Бүх машин'!D17)</f>
        <v>Prius Alpha</v>
      </c>
      <c r="E6" s="9" t="str">
        <f>IF('Бүх машин'!F17="","",'Бүх машин'!F17)</f>
        <v>S TOURING SELECTION</v>
      </c>
      <c r="F6" s="10">
        <f>IF('Бүх машин'!G17="","",'Бүх машин'!G17)</f>
        <v>2014</v>
      </c>
      <c r="G6" s="9">
        <f>IF('Бүх машин'!H17="","",'Бүх машин'!H17)</f>
        <v>165000</v>
      </c>
      <c r="H6" s="9" t="str">
        <f>IF('Бүх машин'!K17="","",'Бүх машин'!K17)</f>
        <v>3.5</v>
      </c>
      <c r="I6" s="9" t="str">
        <f>IF('Бүх машин'!L17="","",'Бүх машин'!L17)</f>
        <v>саарал</v>
      </c>
      <c r="J6" s="9">
        <f>IF('Бүх машин'!N17="","",'Бүх машин'!N17)</f>
        <v>275000</v>
      </c>
      <c r="K6" s="9">
        <f>IF('Бүх машин'!O17="","",'Бүх машин'!O17)</f>
        <v>473000</v>
      </c>
      <c r="L6" s="9">
        <f t="shared" si="0"/>
        <v>198000</v>
      </c>
      <c r="M6" s="11">
        <f t="shared" si="1"/>
        <v>0.72</v>
      </c>
      <c r="N6" s="9">
        <f>IF('Бүх машин'!S17="","",'Бүх машин'!S17)</f>
        <v>19885346.25</v>
      </c>
      <c r="O6" s="9">
        <f>IF('Бүх машин'!T17="","",'Бүх машин'!T17)</f>
        <v>25129207.95</v>
      </c>
      <c r="P6" s="9">
        <f>IF('Бүх машин'!U17="","",'Бүх машин'!U17)</f>
        <v>28624000</v>
      </c>
      <c r="Q6" s="12">
        <f>IF('Бүх машин'!Z17="","",'Бүх машин'!Z17)</f>
        <v>3494792.05</v>
      </c>
      <c r="R6" s="11">
        <f t="shared" si="2"/>
        <v>0.1390729089812</v>
      </c>
      <c r="S6" s="9">
        <f>IF('Бүх машин'!X17="","",'Бүх машин'!X17)</f>
        <v>8738653.75</v>
      </c>
      <c r="T6" s="9" t="str">
        <f>IF('Бүх машин'!AA17="","",'Бүх машин'!AA17)</f>
        <v>Дунд (17 зар)</v>
      </c>
    </row>
    <row r="7" spans="1:20">
      <c r="A7" s="9" t="str">
        <f>IF('Бүх машин'!A18="","",'Бүх машин'!A18)</f>
        <v>2026/10/06 12:07</v>
      </c>
      <c r="B7" s="9" t="str">
        <f>IF('Бүх машин'!B18="","",'Бүх машин'!B18)</f>
        <v>TAA Kinki</v>
      </c>
      <c r="C7" s="9" t="str">
        <f>IF('Бүх машин'!C18="","",'Бүх машин'!C18)</f>
        <v>620</v>
      </c>
      <c r="D7" s="9" t="str">
        <f>IF('Бүх машин'!D18="","",'Бүх машин'!D18)</f>
        <v>Prius Alpha</v>
      </c>
      <c r="E7" s="9" t="str">
        <f>IF('Бүх машин'!F18="","",'Бүх машин'!F18)</f>
        <v>S TUNE BLACK</v>
      </c>
      <c r="F7" s="10">
        <f>IF('Бүх машин'!G18="","",'Бүх машин'!G18)</f>
        <v>2014</v>
      </c>
      <c r="G7" s="9">
        <f>IF('Бүх машин'!H18="","",'Бүх машин'!H18)</f>
        <v>156000</v>
      </c>
      <c r="H7" s="9" t="str">
        <f>IF('Бүх машин'!K18="","",'Бүх машин'!K18)</f>
        <v>RA</v>
      </c>
      <c r="I7" s="9" t="str">
        <f>IF('Бүх машин'!L18="","",'Бүх машин'!L18)</f>
        <v>хар</v>
      </c>
      <c r="J7" s="9">
        <f>IF('Бүх машин'!N18="","",'Бүх машин'!N18)</f>
        <v>280000</v>
      </c>
      <c r="K7" s="9">
        <f>IF('Бүх машин'!O18="","",'Бүх машин'!O18)</f>
        <v>409000</v>
      </c>
      <c r="L7" s="9">
        <f t="shared" si="0"/>
        <v>129000</v>
      </c>
      <c r="M7" s="11">
        <f t="shared" si="1"/>
        <v>0.460714285714286</v>
      </c>
      <c r="N7" s="9">
        <f>IF('Бүх машин'!S18="","",'Бүх машин'!S18)</f>
        <v>20017767</v>
      </c>
      <c r="O7" s="9">
        <f>IF('Бүх машин'!T18="","",'Бүх машин'!T18)</f>
        <v>23434222.35</v>
      </c>
      <c r="P7" s="9">
        <f>IF('Бүх машин'!U18="","",'Бүх машин'!U18)</f>
        <v>28687000</v>
      </c>
      <c r="Q7" s="12">
        <f>IF('Бүх машин'!Z18="","",'Бүх машин'!Z18)</f>
        <v>5252777.65</v>
      </c>
      <c r="R7" s="11">
        <f t="shared" si="2"/>
        <v>0.224149859617595</v>
      </c>
      <c r="S7" s="9">
        <f>IF('Бүх машин'!X18="","",'Бүх машин'!X18)</f>
        <v>8669233</v>
      </c>
      <c r="T7" s="9" t="str">
        <f>IF('Бүх машин'!AA18="","",'Бүх машин'!AA18)</f>
        <v>Дунд (17 зар)</v>
      </c>
    </row>
    <row r="8" spans="1:20">
      <c r="A8" s="9" t="str">
        <f>IF('Бүх машин'!A19="","",'Бүх машин'!A19)</f>
        <v>2026/10/06 11:44</v>
      </c>
      <c r="B8" s="9" t="str">
        <f>IF('Бүх машин'!B19="","",'Бүх машин'!B19)</f>
        <v>TAA Kyushu</v>
      </c>
      <c r="C8" s="9" t="str">
        <f>IF('Бүх машин'!C19="","",'Бүх машин'!C19)</f>
        <v>9048</v>
      </c>
      <c r="D8" s="9" t="str">
        <f>IF('Бүх машин'!D19="","",'Бүх машин'!D19)</f>
        <v>Prius Alpha</v>
      </c>
      <c r="E8" s="9" t="str">
        <f>IF('Бүх машин'!F19="","",'Бүх машин'!F19)</f>
        <v>G</v>
      </c>
      <c r="F8" s="10">
        <f>IF('Бүх машин'!G19="","",'Бүх машин'!G19)</f>
        <v>2011</v>
      </c>
      <c r="G8" s="9">
        <f>IF('Бүх машин'!H19="","",'Бүх машин'!H19)</f>
        <v>185000</v>
      </c>
      <c r="H8" s="9" t="str">
        <f>IF('Бүх машин'!K19="","",'Бүх машин'!K19)</f>
        <v>RA</v>
      </c>
      <c r="I8" s="9" t="str">
        <f>IF('Бүх машин'!L19="","",'Бүх машин'!L19)</f>
        <v>сувдан цагаан</v>
      </c>
      <c r="J8" s="9">
        <f>IF('Бүх машин'!N19="","",'Бүх машин'!N19)</f>
        <v>275000</v>
      </c>
      <c r="K8" s="9">
        <f>IF('Бүх машин'!O19="","",'Бүх машин'!O19)</f>
        <v>340000</v>
      </c>
      <c r="L8" s="9">
        <f t="shared" si="0"/>
        <v>65000</v>
      </c>
      <c r="M8" s="11">
        <f t="shared" si="1"/>
        <v>0.236363636363636</v>
      </c>
      <c r="N8" s="9">
        <f>IF('Бүх машин'!S19="","",'Бүх машин'!S19)</f>
        <v>19885346.25</v>
      </c>
      <c r="O8" s="9">
        <f>IF('Бүх машин'!T19="","",'Бүх машин'!T19)</f>
        <v>21606816</v>
      </c>
      <c r="P8" s="9">
        <f>IF('Бүх машин'!U19="","",'Бүх машин'!U19)</f>
        <v>27087000</v>
      </c>
      <c r="Q8" s="12">
        <f>IF('Бүх машин'!Z19="","",'Бүх машин'!Z19)</f>
        <v>5480184</v>
      </c>
      <c r="R8" s="11">
        <f t="shared" si="2"/>
        <v>0.253632187176491</v>
      </c>
      <c r="S8" s="9">
        <f>IF('Бүх машин'!X19="","",'Бүх машин'!X19)</f>
        <v>7201653.75</v>
      </c>
      <c r="T8" s="9" t="str">
        <f>IF('Бүх машин'!AA19="","",'Бүх машин'!AA19)</f>
        <v>Дунд (18 зар)</v>
      </c>
    </row>
    <row r="9" spans="1:20">
      <c r="A9" s="9" t="str">
        <f>IF('Бүх машин'!A20="","",'Бүх машин'!A20)</f>
        <v>2026/10/06 11:00</v>
      </c>
      <c r="B9" s="9" t="str">
        <f>IF('Бүх машин'!B20="","",'Бүх машин'!B20)</f>
        <v>TAA Kyushu</v>
      </c>
      <c r="C9" s="9" t="str">
        <f>IF('Бүх машин'!C20="","",'Бүх машин'!C20)</f>
        <v>6130</v>
      </c>
      <c r="D9" s="9" t="str">
        <f>IF('Бүх машин'!D20="","",'Бүх машин'!D20)</f>
        <v>Camry</v>
      </c>
      <c r="E9" s="9" t="str">
        <f>IF('Бүх машин'!F20="","",'Бүх машин'!F20)</f>
        <v>WS</v>
      </c>
      <c r="F9" s="10">
        <f>IF('Бүх машин'!G20="","",'Бүх машин'!G20)</f>
        <v>2018</v>
      </c>
      <c r="G9" s="9">
        <f>IF('Бүх машин'!H20="","",'Бүх машин'!H20)</f>
        <v>145000</v>
      </c>
      <c r="H9" s="9" t="str">
        <f>IF('Бүх машин'!K20="","",'Бүх машин'!K20)</f>
        <v>4</v>
      </c>
      <c r="I9" s="9" t="str">
        <f>IF('Бүх машин'!L20="","",'Бүх машин'!L20)</f>
        <v>сувдан цагаан</v>
      </c>
      <c r="J9" s="9">
        <f>IF('Бүх машин'!N20="","",'Бүх машин'!N20)</f>
        <v>1000000</v>
      </c>
      <c r="K9" s="9">
        <f>IF('Бүх машин'!O20="","",'Бүх машин'!O20)</f>
        <v>1462000</v>
      </c>
      <c r="L9" s="9">
        <f t="shared" si="0"/>
        <v>462000</v>
      </c>
      <c r="M9" s="11">
        <f t="shared" si="1"/>
        <v>0.462</v>
      </c>
      <c r="N9" s="9">
        <f>IF('Бүх машин'!S20="","",'Бүх машин'!S20)</f>
        <v>35217105</v>
      </c>
      <c r="O9" s="9">
        <f>IF('Бүх машин'!T20="","",'Бүх машин'!T20)</f>
        <v>47452782.3</v>
      </c>
      <c r="P9" s="9">
        <f>IF('Бүх машин'!U20="","",'Бүх машин'!U20)</f>
        <v>54293000</v>
      </c>
      <c r="Q9" s="12">
        <f>IF('Бүх машин'!Z20="","",'Бүх машин'!Z20)</f>
        <v>6840217.7</v>
      </c>
      <c r="R9" s="11">
        <f t="shared" si="2"/>
        <v>0.144147874338656</v>
      </c>
      <c r="S9" s="9">
        <f>IF('Бүх машин'!X20="","",'Бүх машин'!X20)</f>
        <v>19075895</v>
      </c>
      <c r="T9" s="9" t="str">
        <f>IF('Бүх машин'!AA20="","",'Бүх машин'!AA20)</f>
        <v>Өгөгдөл цөөн (8 зар)</v>
      </c>
    </row>
    <row r="10" spans="1:20">
      <c r="A10" s="9" t="str">
        <f>IF('Бүх машин'!A21="","",'Бүх машин'!A21)</f>
        <v>2026/10/06 10:57</v>
      </c>
      <c r="B10" s="9" t="str">
        <f>IF('Бүх машин'!B21="","",'Бүх машин'!B21)</f>
        <v>TAA Kinki</v>
      </c>
      <c r="C10" s="9" t="str">
        <f>IF('Бүх машин'!C21="","",'Бүх машин'!C21)</f>
        <v>387</v>
      </c>
      <c r="D10" s="9" t="str">
        <f>IF('Бүх машин'!D21="","",'Бүх машин'!D21)</f>
        <v>Prius</v>
      </c>
      <c r="E10" s="9" t="str">
        <f>IF('Бүх машин'!F21="","",'Бүх машин'!F21)</f>
        <v>A</v>
      </c>
      <c r="F10" s="10">
        <f>IF('Бүх машин'!G21="","",'Бүх машин'!G21)</f>
        <v>2017</v>
      </c>
      <c r="G10" s="9">
        <f>IF('Бүх машин'!H21="","",'Бүх машин'!H21)</f>
        <v>136000</v>
      </c>
      <c r="H10" s="9" t="str">
        <f>IF('Бүх машин'!K21="","",'Бүх машин'!K21)</f>
        <v>RA</v>
      </c>
      <c r="I10" s="9" t="str">
        <f>IF('Бүх машин'!L21="","",'Бүх машин'!L21)</f>
        <v>мөнгөлөг</v>
      </c>
      <c r="J10" s="9">
        <f>IF('Бүх машин'!N21="","",'Бүх машин'!N21)</f>
        <v>660000</v>
      </c>
      <c r="K10" s="9">
        <f>IF('Бүх машин'!O21="","",'Бүх машин'!O21)</f>
        <v>667000</v>
      </c>
      <c r="L10" s="9">
        <f t="shared" si="0"/>
        <v>7000</v>
      </c>
      <c r="M10" s="11">
        <f t="shared" si="1"/>
        <v>0.0106060606060606</v>
      </c>
      <c r="N10" s="9">
        <f>IF('Бүх машин'!S21="","",'Бүх машин'!S21)</f>
        <v>26212494</v>
      </c>
      <c r="O10" s="9">
        <f>IF('Бүх машин'!T21="","",'Бүх машин'!T21)</f>
        <v>26397883.05</v>
      </c>
      <c r="P10" s="9">
        <f>IF('Бүх машин'!U21="","",'Бүх машин'!U21)</f>
        <v>34277000</v>
      </c>
      <c r="Q10" s="12">
        <f>IF('Бүх машин'!Z21="","",'Бүх машин'!Z21)</f>
        <v>7879116.95</v>
      </c>
      <c r="R10" s="11">
        <f t="shared" si="2"/>
        <v>0.298475333612026</v>
      </c>
      <c r="S10" s="9">
        <f>IF('Бүх машин'!X21="","",'Бүх машин'!X21)</f>
        <v>8064506</v>
      </c>
      <c r="T10" s="9" t="str">
        <f>IF('Бүх машин'!AA21="","",'Бүх машин'!AA21)</f>
        <v>Найдвартай (32 зар)</v>
      </c>
    </row>
    <row r="11" spans="1:20">
      <c r="A11" s="9" t="str">
        <f>IF('Бүх машин'!A22="","",'Бүх машин'!A22)</f>
        <v>2026/10/06 10:40</v>
      </c>
      <c r="B11" s="9" t="str">
        <f>IF('Бүх машин'!B22="","",'Бүх машин'!B22)</f>
        <v>CAA Gifu</v>
      </c>
      <c r="C11" s="9" t="str">
        <f>IF('Бүх машин'!C22="","",'Бүх машин'!C22)</f>
        <v>30167</v>
      </c>
      <c r="D11" s="9" t="str">
        <f>IF('Бүх машин'!D22="","",'Бүх машин'!D22)</f>
        <v>Prius Alpha</v>
      </c>
      <c r="E11" s="9" t="str">
        <f>IF('Бүх машин'!F22="","",'Бүх машин'!F22)</f>
        <v>G</v>
      </c>
      <c r="F11" s="10">
        <f>IF('Бүх машин'!G22="","",'Бүх машин'!G22)</f>
        <v>2011</v>
      </c>
      <c r="G11" s="9">
        <f>IF('Бүх машин'!H22="","",'Бүх машин'!H22)</f>
        <v>149000</v>
      </c>
      <c r="H11" s="9" t="str">
        <f>IF('Бүх машин'!K22="","",'Бүх машин'!K22)</f>
        <v>3.5</v>
      </c>
      <c r="I11" s="9" t="str">
        <f>IF('Бүх машин'!L22="","",'Бүх машин'!L22)</f>
        <v>сувдан цагаан</v>
      </c>
      <c r="J11" s="9">
        <f>IF('Бүх машин'!N22="","",'Бүх машин'!N22)</f>
        <v>305000</v>
      </c>
      <c r="K11" s="9">
        <f>IF('Бүх машин'!O22="","",'Бүх машин'!O22)</f>
        <v>423000</v>
      </c>
      <c r="L11" s="9">
        <f t="shared" si="0"/>
        <v>118000</v>
      </c>
      <c r="M11" s="11">
        <f t="shared" si="1"/>
        <v>0.386885245901639</v>
      </c>
      <c r="N11" s="9">
        <f>IF('Бүх машин'!S22="","",'Бүх машин'!S22)</f>
        <v>20679870.75</v>
      </c>
      <c r="O11" s="9">
        <f>IF('Бүх машин'!T22="","",'Бүх машин'!T22)</f>
        <v>23805000.45</v>
      </c>
      <c r="P11" s="9">
        <f>IF('Бүх машин'!U22="","",'Бүх машин'!U22)</f>
        <v>26983000</v>
      </c>
      <c r="Q11" s="12">
        <f>IF('Бүх машин'!Z22="","",'Бүх машин'!Z22)</f>
        <v>3177999.55</v>
      </c>
      <c r="R11" s="11">
        <f t="shared" si="2"/>
        <v>0.133501343832153</v>
      </c>
      <c r="S11" s="9">
        <f>IF('Бүх машин'!X22="","",'Бүх машин'!X22)</f>
        <v>6303129.25</v>
      </c>
      <c r="T11" s="9" t="str">
        <f>IF('Бүх машин'!AA22="","",'Бүх машин'!AA22)</f>
        <v>Дунд (18 зар)</v>
      </c>
    </row>
    <row r="12" spans="1:20">
      <c r="A12" s="9" t="str">
        <f>IF('Бүх машин'!A23="","",'Бүх машин'!A23)</f>
        <v>2026/10/06 10:19</v>
      </c>
      <c r="B12" s="9" t="str">
        <f>IF('Бүх машин'!B23="","",'Бүх машин'!B23)</f>
        <v>CAA Tokyo</v>
      </c>
      <c r="C12" s="9" t="str">
        <f>IF('Бүх машин'!C23="","",'Бүх машин'!C23)</f>
        <v>30044</v>
      </c>
      <c r="D12" s="9" t="str">
        <f>IF('Бүх машин'!D23="","",'Бүх машин'!D23)</f>
        <v>Prius</v>
      </c>
      <c r="E12" s="9" t="str">
        <f>IF('Бүх машин'!F23="","",'Бүх машин'!F23)</f>
        <v>S TOURING SELECTION</v>
      </c>
      <c r="F12" s="10">
        <f>IF('Бүх машин'!G23="","",'Бүх машин'!G23)</f>
        <v>2018</v>
      </c>
      <c r="G12" s="9">
        <f>IF('Бүх машин'!H23="","",'Бүх машин'!H23)</f>
        <v>205000</v>
      </c>
      <c r="H12" s="9" t="str">
        <f>IF('Бүх машин'!K23="","",'Бүх машин'!K23)</f>
        <v>3.5</v>
      </c>
      <c r="I12" s="9" t="str">
        <f>IF('Бүх машин'!L23="","",'Бүх машин'!L23)</f>
        <v>сувдан цагаан</v>
      </c>
      <c r="J12" s="9">
        <f>IF('Бүх машин'!N23="","",'Бүх машин'!N23)</f>
        <v>500000</v>
      </c>
      <c r="K12" s="9">
        <f>IF('Бүх машин'!O23="","",'Бүх машин'!O23)</f>
        <v>685000</v>
      </c>
      <c r="L12" s="9">
        <f t="shared" si="0"/>
        <v>185000</v>
      </c>
      <c r="M12" s="11">
        <f t="shared" si="1"/>
        <v>0.37</v>
      </c>
      <c r="N12" s="9">
        <f>IF('Бүх машин'!S23="","",'Бүх машин'!S23)</f>
        <v>21975030</v>
      </c>
      <c r="O12" s="9">
        <f>IF('Бүх машин'!T23="","",'Бүх машин'!T23)</f>
        <v>26874597.75</v>
      </c>
      <c r="P12" s="9">
        <f>IF('Бүх машин'!U23="","",'Бүх машин'!U23)</f>
        <v>32969000</v>
      </c>
      <c r="Q12" s="12">
        <f>IF('Бүх машин'!Z23="","",'Бүх машин'!Z23)</f>
        <v>6094402.25</v>
      </c>
      <c r="R12" s="11">
        <f t="shared" si="2"/>
        <v>0.226771850008434</v>
      </c>
      <c r="S12" s="9">
        <f>IF('Бүх машин'!X23="","",'Бүх машин'!X23)</f>
        <v>10993970</v>
      </c>
      <c r="T12" s="9" t="str">
        <f>IF('Бүх машин'!AA23="","",'Бүх машин'!AA23)</f>
        <v>Өгөгдөл цөөн (7 зар)</v>
      </c>
    </row>
    <row r="13" spans="1:20">
      <c r="A13" s="9" t="str">
        <f>IF('Бүх машин'!A24="","",'Бүх машин'!A24)</f>
        <v>2026/10/06 10:11</v>
      </c>
      <c r="B13" s="9" t="str">
        <f>IF('Бүх машин'!B24="","",'Бүх машин'!B24)</f>
        <v>CAA Tokyo</v>
      </c>
      <c r="C13" s="9" t="str">
        <f>IF('Бүх машин'!C24="","",'Бүх машин'!C24)</f>
        <v>10318</v>
      </c>
      <c r="D13" s="9" t="str">
        <f>IF('Бүх машин'!D24="","",'Бүх машин'!D24)</f>
        <v>Prius Alpha</v>
      </c>
      <c r="E13" s="9" t="str">
        <f>IF('Бүх машин'!F24="","",'Бүх машин'!F24)</f>
        <v>S TOURING SELECTION</v>
      </c>
      <c r="F13" s="10">
        <f>IF('Бүх машин'!G24="","",'Бүх машин'!G24)</f>
        <v>2012</v>
      </c>
      <c r="G13" s="9">
        <f>IF('Бүх машин'!H24="","",'Бүх машин'!H24)</f>
        <v>161000</v>
      </c>
      <c r="H13" s="9" t="str">
        <f>IF('Бүх машин'!K24="","",'Бүх машин'!K24)</f>
        <v>3.5</v>
      </c>
      <c r="I13" s="9" t="str">
        <f>IF('Бүх машин'!L24="","",'Бүх машин'!L24)</f>
        <v>сувдан цагаан</v>
      </c>
      <c r="J13" s="9">
        <f>IF('Бүх машин'!N24="","",'Бүх машин'!N24)</f>
        <v>295000</v>
      </c>
      <c r="K13" s="9">
        <f>IF('Бүх машин'!O24="","",'Бүх машин'!O24)</f>
        <v>426000</v>
      </c>
      <c r="L13" s="9">
        <f t="shared" si="0"/>
        <v>131000</v>
      </c>
      <c r="M13" s="11">
        <f t="shared" si="1"/>
        <v>0.444067796610169</v>
      </c>
      <c r="N13" s="9">
        <f>IF('Бүх машин'!S24="","",'Бүх машин'!S24)</f>
        <v>20415029.25</v>
      </c>
      <c r="O13" s="9">
        <f>IF('Бүх машин'!T24="","",'Бүх машин'!T24)</f>
        <v>23884452.9</v>
      </c>
      <c r="P13" s="9">
        <f>IF('Бүх машин'!U24="","",'Бүх машин'!U24)</f>
        <v>26634000</v>
      </c>
      <c r="Q13" s="12">
        <f>IF('Бүх машин'!Z24="","",'Бүх машин'!Z24)</f>
        <v>2749547.1</v>
      </c>
      <c r="R13" s="11">
        <f t="shared" si="2"/>
        <v>0.11511869715048</v>
      </c>
      <c r="S13" s="9">
        <f>IF('Бүх машин'!X24="","",'Бүх машин'!X24)</f>
        <v>6218970.75</v>
      </c>
      <c r="T13" s="9" t="str">
        <f>IF('Бүх машин'!AA24="","",'Бүх машин'!AA24)</f>
        <v>Найдвартай (47 зар)</v>
      </c>
    </row>
    <row r="14" spans="1:20">
      <c r="A14" s="9" t="str">
        <f>IF('Бүх машин'!A25="","",'Бүх машин'!A25)</f>
        <v>2026/10/06 09:54</v>
      </c>
      <c r="B14" s="9" t="str">
        <f>IF('Бүх машин'!B25="","",'Бүх машин'!B25)</f>
        <v>TAA Kinki</v>
      </c>
      <c r="C14" s="9" t="str">
        <f>IF('Бүх машин'!C25="","",'Бүх машин'!C25)</f>
        <v>180</v>
      </c>
      <c r="D14" s="9" t="str">
        <f>IF('Бүх машин'!D25="","",'Бүх машин'!D25)</f>
        <v>Prius Alpha</v>
      </c>
      <c r="E14" s="9" t="str">
        <f>IF('Бүх машин'!F25="","",'Бүх машин'!F25)</f>
        <v>G</v>
      </c>
      <c r="F14" s="10">
        <f>IF('Бүх машин'!G25="","",'Бүх машин'!G25)</f>
        <v>2012</v>
      </c>
      <c r="G14" s="9">
        <f>IF('Бүх машин'!H25="","",'Бүх машин'!H25)</f>
        <v>160000</v>
      </c>
      <c r="H14" s="9" t="str">
        <f>IF('Бүх машин'!K25="","",'Бүх машин'!K25)</f>
        <v>3.5</v>
      </c>
      <c r="I14" s="9" t="str">
        <f>IF('Бүх машин'!L25="","",'Бүх машин'!L25)</f>
        <v>мөнгөлөг</v>
      </c>
      <c r="J14" s="9">
        <f>IF('Бүх машин'!N25="","",'Бүх машин'!N25)</f>
        <v>270000</v>
      </c>
      <c r="K14" s="9">
        <f>IF('Бүх машин'!O25="","",'Бүх машин'!O25)</f>
        <v>334000</v>
      </c>
      <c r="L14" s="9">
        <f t="shared" si="0"/>
        <v>64000</v>
      </c>
      <c r="M14" s="11">
        <f t="shared" si="1"/>
        <v>0.237037037037037</v>
      </c>
      <c r="N14" s="9">
        <f>IF('Бүх машин'!S25="","",'Бүх машин'!S25)</f>
        <v>19752925.5</v>
      </c>
      <c r="O14" s="9">
        <f>IF('Бүх машин'!T25="","",'Бүх машин'!T25)</f>
        <v>21447911.1</v>
      </c>
      <c r="P14" s="9">
        <f>IF('Бүх машин'!U25="","",'Бүх машин'!U25)</f>
        <v>26164000</v>
      </c>
      <c r="Q14" s="12">
        <f>IF('Бүх машин'!Z25="","",'Бүх машин'!Z25)</f>
        <v>4716088.9</v>
      </c>
      <c r="R14" s="11">
        <f t="shared" si="2"/>
        <v>0.2198856978664</v>
      </c>
      <c r="S14" s="9">
        <f>IF('Бүх машин'!X25="","",'Бүх машин'!X25)</f>
        <v>6411074.5</v>
      </c>
      <c r="T14" s="9" t="str">
        <f>IF('Бүх машин'!AA25="","",'Бүх машин'!AA25)</f>
        <v>Найдвартай (47 зар)</v>
      </c>
    </row>
    <row r="15" spans="1:20">
      <c r="A15" s="9" t="str">
        <f>IF('Бүх машин'!A26="","",'Бүх машин'!A26)</f>
        <v>2026/10/06 09:50</v>
      </c>
      <c r="B15" s="9" t="str">
        <f>IF('Бүх машин'!B26="","",'Бүх машин'!B26)</f>
        <v>TAA Hiroshima</v>
      </c>
      <c r="C15" s="9" t="str">
        <f>IF('Бүх машин'!C26="","",'Бүх машин'!C26)</f>
        <v>174</v>
      </c>
      <c r="D15" s="9" t="str">
        <f>IF('Бүх машин'!D26="","",'Бүх машин'!D26)</f>
        <v>Prius</v>
      </c>
      <c r="E15" s="9" t="str">
        <f>IF('Бүх машин'!F26="","",'Бүх машин'!F26)</f>
        <v>A PREMIUM</v>
      </c>
      <c r="F15" s="10">
        <f>IF('Бүх машин'!G26="","",'Бүх машин'!G26)</f>
        <v>2017</v>
      </c>
      <c r="G15" s="9">
        <f>IF('Бүх машин'!H26="","",'Бүх машин'!H26)</f>
        <v>189000</v>
      </c>
      <c r="H15" s="9" t="str">
        <f>IF('Бүх машин'!K26="","",'Бүх машин'!K26)</f>
        <v>3.5</v>
      </c>
      <c r="I15" s="9" t="str">
        <f>IF('Бүх машин'!L26="","",'Бүх машин'!L26)</f>
        <v>цагаан</v>
      </c>
      <c r="J15" s="9">
        <f>IF('Бүх машин'!N26="","",'Бүх машин'!N26)</f>
        <v>530000</v>
      </c>
      <c r="K15" s="9">
        <f>IF('Бүх машин'!O26="","",'Бүх машин'!O26)</f>
        <v>687000</v>
      </c>
      <c r="L15" s="9">
        <f t="shared" si="0"/>
        <v>157000</v>
      </c>
      <c r="M15" s="11">
        <f t="shared" si="1"/>
        <v>0.29622641509434</v>
      </c>
      <c r="N15" s="9">
        <f>IF('Бүх машин'!S26="","",'Бүх машин'!S26)</f>
        <v>22769554.5</v>
      </c>
      <c r="O15" s="9">
        <f>IF('Бүх машин'!T26="","",'Бүх машин'!T26)</f>
        <v>26927566.05</v>
      </c>
      <c r="P15" s="9">
        <f>IF('Бүх машин'!U26="","",'Бүх машин'!U26)</f>
        <v>34406000</v>
      </c>
      <c r="Q15" s="12">
        <f>IF('Бүх машин'!Z26="","",'Бүх машин'!Z26)</f>
        <v>7478433.95</v>
      </c>
      <c r="R15" s="11">
        <f t="shared" si="2"/>
        <v>0.27772409641903</v>
      </c>
      <c r="S15" s="9">
        <f>IF('Бүх машин'!X26="","",'Бүх машин'!X26)</f>
        <v>11636445.5</v>
      </c>
      <c r="T15" s="9" t="str">
        <f>IF('Бүх машин'!AA26="","",'Бүх машин'!AA26)</f>
        <v>Найдвартай (32 зар)</v>
      </c>
    </row>
    <row r="16" spans="1:20">
      <c r="A16" s="9" t="str">
        <f>IF('Бүх машин'!A27="","",'Бүх машин'!A27)</f>
        <v>2026/10/06 09:37</v>
      </c>
      <c r="B16" s="9" t="str">
        <f>IF('Бүх машин'!B27="","",'Бүх машин'!B27)</f>
        <v>CAA Tokyo</v>
      </c>
      <c r="C16" s="9" t="str">
        <f>IF('Бүх машин'!C27="","",'Бүх машин'!C27)</f>
        <v>10170</v>
      </c>
      <c r="D16" s="9" t="str">
        <f>IF('Бүх машин'!D27="","",'Бүх машин'!D27)</f>
        <v>Prius Alpha</v>
      </c>
      <c r="E16" s="9" t="str">
        <f>IF('Бүх машин'!F27="","",'Бүх машин'!F27)</f>
        <v>G TOURING SELECTION</v>
      </c>
      <c r="F16" s="10">
        <f>IF('Бүх машин'!G27="","",'Бүх машин'!G27)</f>
        <v>2012</v>
      </c>
      <c r="G16" s="9">
        <f>IF('Бүх машин'!H27="","",'Бүх машин'!H27)</f>
        <v>169000</v>
      </c>
      <c r="H16" s="9" t="str">
        <f>IF('Бүх машин'!K27="","",'Бүх машин'!K27)</f>
        <v>3.5</v>
      </c>
      <c r="I16" s="9" t="str">
        <f>IF('Бүх машин'!L27="","",'Бүх машин'!L27)</f>
        <v>сувдан цагаан</v>
      </c>
      <c r="J16" s="9">
        <f>IF('Бүх машин'!N27="","",'Бүх машин'!N27)</f>
        <v>295000</v>
      </c>
      <c r="K16" s="9">
        <f>IF('Бүх машин'!O27="","",'Бүх машин'!O27)</f>
        <v>429000</v>
      </c>
      <c r="L16" s="9">
        <f t="shared" si="0"/>
        <v>134000</v>
      </c>
      <c r="M16" s="11">
        <f t="shared" si="1"/>
        <v>0.454237288135593</v>
      </c>
      <c r="N16" s="9">
        <f>IF('Бүх машин'!S27="","",'Бүх машин'!S27)</f>
        <v>20415029.25</v>
      </c>
      <c r="O16" s="9">
        <f>IF('Бүх машин'!T27="","",'Бүх машин'!T27)</f>
        <v>23963905.35</v>
      </c>
      <c r="P16" s="9">
        <f>IF('Бүх машин'!U27="","",'Бүх машин'!U27)</f>
        <v>26387000</v>
      </c>
      <c r="Q16" s="12">
        <f>IF('Бүх машин'!Z27="","",'Бүх машин'!Z27)</f>
        <v>2423094.65</v>
      </c>
      <c r="R16" s="11">
        <f t="shared" si="2"/>
        <v>0.101114347374102</v>
      </c>
      <c r="S16" s="9">
        <f>IF('Бүх машин'!X27="","",'Бүх машин'!X27)</f>
        <v>5971970.75</v>
      </c>
      <c r="T16" s="9" t="str">
        <f>IF('Бүх машин'!AA27="","",'Бүх машин'!AA27)</f>
        <v>Найдвартай (47 зар)</v>
      </c>
    </row>
    <row r="17" spans="1:20">
      <c r="A17" s="9" t="str">
        <f>IF('Бүх машин'!A28="","",'Бүх машин'!A28)</f>
        <v>2026/10/06 09:01</v>
      </c>
      <c r="B17" s="9" t="str">
        <f>IF('Бүх машин'!B28="","",'Бүх машин'!B28)</f>
        <v>TAA Kinki</v>
      </c>
      <c r="C17" s="9" t="str">
        <f>IF('Бүх машин'!C28="","",'Бүх машин'!C28)</f>
        <v>7</v>
      </c>
      <c r="D17" s="9" t="str">
        <f>IF('Бүх машин'!D28="","",'Бүх машин'!D28)</f>
        <v>Camry</v>
      </c>
      <c r="E17" s="9" t="str">
        <f>IF('Бүх машин'!F28="","",'Бүх машин'!F28)</f>
        <v>G LEATHER PACKAGE</v>
      </c>
      <c r="F17" s="10">
        <f>IF('Бүх машин'!G28="","",'Бүх машин'!G28)</f>
        <v>2019</v>
      </c>
      <c r="G17" s="9">
        <f>IF('Бүх машин'!H28="","",'Бүх машин'!H28)</f>
        <v>143000</v>
      </c>
      <c r="H17" s="9" t="str">
        <f>IF('Бүх машин'!K28="","",'Бүх машин'!K28)</f>
        <v>4</v>
      </c>
      <c r="I17" s="9" t="str">
        <f>IF('Бүх машин'!L28="","",'Бүх машин'!L28)</f>
        <v>хар</v>
      </c>
      <c r="J17" s="9">
        <f>IF('Бүх машин'!N28="","",'Бүх машин'!N28)</f>
        <v>950000</v>
      </c>
      <c r="K17" s="9">
        <f>IF('Бүх машин'!O28="","",'Бүх машин'!O28)</f>
        <v>1381000</v>
      </c>
      <c r="L17" s="9">
        <f t="shared" si="0"/>
        <v>431000</v>
      </c>
      <c r="M17" s="11">
        <f t="shared" si="1"/>
        <v>0.453684210526316</v>
      </c>
      <c r="N17" s="9">
        <f>IF('Бүх машин'!S28="","",'Бүх машин'!S28)</f>
        <v>33892897.5</v>
      </c>
      <c r="O17" s="9">
        <f>IF('Бүх машин'!T28="","",'Бүх машин'!T28)</f>
        <v>45307566.15</v>
      </c>
      <c r="P17" s="9">
        <f>IF('Бүх машин'!U28="","",'Бүх машин'!U28)</f>
        <v>53395000</v>
      </c>
      <c r="Q17" s="12">
        <f>IF('Бүх машин'!Z28="","",'Бүх машин'!Z28)</f>
        <v>8087433.85</v>
      </c>
      <c r="R17" s="11">
        <f t="shared" si="2"/>
        <v>0.178500734804975</v>
      </c>
      <c r="S17" s="9">
        <f>IF('Бүх машин'!X28="","",'Бүх машин'!X28)</f>
        <v>19502102.5</v>
      </c>
      <c r="T17" s="9" t="str">
        <f>IF('Бүх машин'!AA28="","",'Бүх машин'!AA28)</f>
        <v>Өгөгдөл цөөн (5 зар)</v>
      </c>
    </row>
    <row r="18" spans="1:20">
      <c r="A18" s="9" t="str">
        <f>IF('Бүх машин'!A29="","",'Бүх машин'!A29)</f>
        <v>2026/10/05 14:40</v>
      </c>
      <c r="B18" s="9" t="str">
        <f>IF('Бүх машин'!B29="","",'Бүх машин'!B29)</f>
        <v>Honda Nagoya</v>
      </c>
      <c r="C18" s="9" t="str">
        <f>IF('Бүх машин'!C29="","",'Бүх машин'!C29)</f>
        <v>55383</v>
      </c>
      <c r="D18" s="9" t="str">
        <f>IF('Бүх машин'!D29="","",'Бүх машин'!D29)</f>
        <v>Prius Alpha</v>
      </c>
      <c r="E18" s="9" t="str">
        <f>IF('Бүх машин'!F29="","",'Бүх машин'!F29)</f>
        <v>G</v>
      </c>
      <c r="F18" s="10">
        <f>IF('Бүх машин'!G29="","",'Бүх машин'!G29)</f>
        <v>2014</v>
      </c>
      <c r="G18" s="9">
        <f>IF('Бүх машин'!H29="","",'Бүх машин'!H29)</f>
        <v>98000</v>
      </c>
      <c r="H18" s="9" t="str">
        <f>IF('Бүх машин'!K29="","",'Бүх машин'!K29)</f>
        <v>R</v>
      </c>
      <c r="I18" s="9" t="str">
        <f>IF('Бүх машин'!L29="","",'Бүх машин'!L29)</f>
        <v>мөнгөлөг</v>
      </c>
      <c r="J18" s="9">
        <f>IF('Бүх машин'!N29="","",'Бүх машин'!N29)</f>
        <v>300000</v>
      </c>
      <c r="K18" s="9">
        <f>IF('Бүх машин'!O29="","",'Бүх машин'!O29)</f>
        <v>423000</v>
      </c>
      <c r="L18" s="9">
        <f t="shared" si="0"/>
        <v>123000</v>
      </c>
      <c r="M18" s="11">
        <f t="shared" si="1"/>
        <v>0.41</v>
      </c>
      <c r="N18" s="9">
        <f>IF('Бүх машин'!S29="","",'Бүх машин'!S29)</f>
        <v>20547450</v>
      </c>
      <c r="O18" s="9">
        <f>IF('Бүх машин'!T29="","",'Бүх машин'!T29)</f>
        <v>23805000.45</v>
      </c>
      <c r="P18" s="9">
        <f>IF('Бүх машин'!U29="","",'Бүх машин'!U29)</f>
        <v>30251000</v>
      </c>
      <c r="Q18" s="12">
        <f>IF('Бүх машин'!Z29="","",'Бүх машин'!Z29)</f>
        <v>6445999.55</v>
      </c>
      <c r="R18" s="11">
        <f t="shared" si="2"/>
        <v>0.270783424832912</v>
      </c>
      <c r="S18" s="9">
        <f>IF('Бүх машин'!X29="","",'Бүх машин'!X29)</f>
        <v>9703550</v>
      </c>
      <c r="T18" s="9" t="str">
        <f>IF('Бүх машин'!AA29="","",'Бүх машин'!AA29)</f>
        <v>Дунд (17 зар)</v>
      </c>
    </row>
    <row r="19" spans="1:20">
      <c r="A19" s="9" t="str">
        <f>IF('Бүх машин'!A31="","",'Бүх машин'!A31)</f>
        <v>2026/10/05 13:47</v>
      </c>
      <c r="B19" s="9" t="str">
        <f>IF('Бүх машин'!B31="","",'Бүх машин'!B31)</f>
        <v>Honda Tokyo</v>
      </c>
      <c r="C19" s="9" t="str">
        <f>IF('Бүх машин'!C31="","",'Бүх машин'!C31)</f>
        <v>20287</v>
      </c>
      <c r="D19" s="9" t="str">
        <f>IF('Бүх машин'!D31="","",'Бүх машин'!D31)</f>
        <v>Prius Alpha</v>
      </c>
      <c r="E19" s="9" t="str">
        <f>IF('Бүх машин'!F31="","",'Бүх машин'!F31)</f>
        <v>S TUNE BLACK</v>
      </c>
      <c r="F19" s="10">
        <f>IF('Бүх машин'!G31="","",'Бүх машин'!G31)</f>
        <v>2014</v>
      </c>
      <c r="G19" s="9">
        <f>IF('Бүх машин'!H31="","",'Бүх машин'!H31)</f>
        <v>140000</v>
      </c>
      <c r="H19" s="9" t="str">
        <f>IF('Бүх машин'!K31="","",'Бүх машин'!K31)</f>
        <v>R</v>
      </c>
      <c r="I19" s="9" t="str">
        <f>IF('Бүх машин'!L31="","",'Бүх машин'!L31)</f>
        <v>хар</v>
      </c>
      <c r="J19" s="9">
        <f>IF('Бүх машин'!N31="","",'Бүх машин'!N31)</f>
        <v>220000</v>
      </c>
      <c r="K19" s="9">
        <f>IF('Бүх машин'!O31="","",'Бүх машин'!O31)</f>
        <v>311000</v>
      </c>
      <c r="L19" s="9">
        <f t="shared" si="0"/>
        <v>91000</v>
      </c>
      <c r="M19" s="11">
        <f t="shared" si="1"/>
        <v>0.413636363636364</v>
      </c>
      <c r="N19" s="9">
        <f>IF('Бүх машин'!S31="","",'Бүх машин'!S31)</f>
        <v>18428718</v>
      </c>
      <c r="O19" s="9">
        <f>IF('Бүх машин'!T31="","",'Бүх машин'!T31)</f>
        <v>20838775.65</v>
      </c>
      <c r="P19" s="9">
        <f>IF('Бүх машин'!U31="","",'Бүх машин'!U31)</f>
        <v>27823000</v>
      </c>
      <c r="Q19" s="12">
        <f>IF('Бүх машин'!Z31="","",'Бүх машин'!Z31)</f>
        <v>6984224.35</v>
      </c>
      <c r="R19" s="11">
        <f t="shared" si="2"/>
        <v>0.33515521580079</v>
      </c>
      <c r="S19" s="9">
        <f>IF('Бүх машин'!X31="","",'Бүх машин'!X31)</f>
        <v>9394282</v>
      </c>
      <c r="T19" s="9" t="str">
        <f>IF('Бүх машин'!AA31="","",'Бүх машин'!AA31)</f>
        <v>Дунд (17 зар)</v>
      </c>
    </row>
    <row r="20" spans="1:20">
      <c r="A20" s="9" t="str">
        <f>IF('Бүх машин'!A32="","",'Бүх машин'!A32)</f>
        <v>2026/10/05 12:29</v>
      </c>
      <c r="B20" s="9" t="str">
        <f>IF('Бүх машин'!B32="","",'Бүх машин'!B32)</f>
        <v>Honda Sendai</v>
      </c>
      <c r="C20" s="9" t="str">
        <f>IF('Бүх машин'!C32="","",'Бүх машин'!C32)</f>
        <v>40063</v>
      </c>
      <c r="D20" s="9" t="str">
        <f>IF('Бүх машин'!D32="","",'Бүх машин'!D32)</f>
        <v>Prius Alpha</v>
      </c>
      <c r="E20" s="9" t="str">
        <f>IF('Бүх машин'!F32="","",'Бүх машин'!F32)</f>
        <v>S TUNE BLACK</v>
      </c>
      <c r="F20" s="10">
        <f>IF('Бүх машин'!G32="","",'Бүх машин'!G32)</f>
        <v>2013</v>
      </c>
      <c r="G20" s="9">
        <f>IF('Бүх машин'!H32="","",'Бүх машин'!H32)</f>
        <v>163000</v>
      </c>
      <c r="H20" s="9" t="str">
        <f>IF('Бүх машин'!K32="","",'Бүх машин'!K32)</f>
        <v>3.5</v>
      </c>
      <c r="I20" s="9" t="str">
        <f>IF('Бүх машин'!L32="","",'Бүх машин'!L32)</f>
        <v>сувдан цагаан</v>
      </c>
      <c r="J20" s="9">
        <f>IF('Бүх машин'!N32="","",'Бүх машин'!N32)</f>
        <v>285000</v>
      </c>
      <c r="K20" s="9">
        <f>IF('Бүх машин'!O32="","",'Бүх машин'!O32)</f>
        <v>365000</v>
      </c>
      <c r="L20" s="9">
        <f t="shared" si="0"/>
        <v>80000</v>
      </c>
      <c r="M20" s="11">
        <f t="shared" si="1"/>
        <v>0.280701754385965</v>
      </c>
      <c r="N20" s="9">
        <f>IF('Бүх машин'!S32="","",'Бүх машин'!S32)</f>
        <v>20150187.75</v>
      </c>
      <c r="O20" s="9">
        <f>IF('Бүх машин'!T32="","",'Бүх машин'!T32)</f>
        <v>22268919.75</v>
      </c>
      <c r="P20" s="9">
        <f>IF('Бүх машин'!U32="","",'Бүх машин'!U32)</f>
        <v>26726000</v>
      </c>
      <c r="Q20" s="12">
        <f>IF('Бүх машин'!Z32="","",'Бүх машин'!Z32)</f>
        <v>4457080.25</v>
      </c>
      <c r="R20" s="11">
        <f t="shared" si="2"/>
        <v>0.200148022447295</v>
      </c>
      <c r="S20" s="9">
        <f>IF('Бүх машин'!X32="","",'Бүх машин'!X32)</f>
        <v>6575812.25</v>
      </c>
      <c r="T20" s="9" t="str">
        <f>IF('Бүх машин'!AA32="","",'Бүх машин'!AA32)</f>
        <v>Найдвартай (40 зар)</v>
      </c>
    </row>
    <row r="21" spans="1:20">
      <c r="A21" s="9" t="str">
        <f>IF('Бүх машин'!A33="","",'Бүх машин'!A33)</f>
        <v>2026/10/05 11:47</v>
      </c>
      <c r="B21" s="9" t="str">
        <f>IF('Бүх машин'!B33="","",'Бүх машин'!B33)</f>
        <v>JU Tokyo</v>
      </c>
      <c r="C21" s="9" t="str">
        <f>IF('Бүх машин'!C33="","",'Бүх машин'!C33)</f>
        <v>7045</v>
      </c>
      <c r="D21" s="9" t="str">
        <f>IF('Бүх машин'!D33="","",'Бүх машин'!D33)</f>
        <v>Prius Alpha</v>
      </c>
      <c r="E21" s="9" t="str">
        <f>IF('Бүх машин'!F33="","",'Бүх машин'!F33)</f>
        <v>G TOURING SELECTION</v>
      </c>
      <c r="F21" s="10">
        <f>IF('Бүх машин'!G33="","",'Бүх машин'!G33)</f>
        <v>2014</v>
      </c>
      <c r="G21" s="9">
        <f>IF('Бүх машин'!H33="","",'Бүх машин'!H33)</f>
        <v>119000</v>
      </c>
      <c r="H21" s="9" t="str">
        <f>IF('Бүх машин'!K33="","",'Бүх машин'!K33)</f>
        <v>3.5</v>
      </c>
      <c r="I21" s="9" t="str">
        <f>IF('Бүх машин'!L33="","",'Бүх машин'!L33)</f>
        <v>хар</v>
      </c>
      <c r="J21" s="9">
        <f>IF('Бүх машин'!N33="","",'Бүх машин'!N33)</f>
        <v>280000</v>
      </c>
      <c r="K21" s="9">
        <f>IF('Бүх машин'!O33="","",'Бүх машин'!O33)</f>
        <v>450000</v>
      </c>
      <c r="L21" s="9">
        <f t="shared" si="0"/>
        <v>170000</v>
      </c>
      <c r="M21" s="11">
        <f t="shared" si="1"/>
        <v>0.607142857142857</v>
      </c>
      <c r="N21" s="9">
        <f>IF('Бүх машин'!S33="","",'Бүх машин'!S33)</f>
        <v>20017767</v>
      </c>
      <c r="O21" s="9">
        <f>IF('Бүх машин'!T33="","",'Бүх машин'!T33)</f>
        <v>24520072.5</v>
      </c>
      <c r="P21" s="9">
        <f>IF('Бүх машин'!U33="","",'Бүх машин'!U33)</f>
        <v>28311000</v>
      </c>
      <c r="Q21" s="12">
        <f>IF('Бүх машин'!Z33="","",'Бүх машин'!Z33)</f>
        <v>3790927.5</v>
      </c>
      <c r="R21" s="11">
        <f t="shared" si="2"/>
        <v>0.154605068969515</v>
      </c>
      <c r="S21" s="9">
        <f>IF('Бүх машин'!X33="","",'Бүх машин'!X33)</f>
        <v>8293233</v>
      </c>
      <c r="T21" s="9" t="str">
        <f>IF('Бүх машин'!AA33="","",'Бүх машин'!AA33)</f>
        <v>Дунд (17 зар)</v>
      </c>
    </row>
    <row r="22" spans="1:20">
      <c r="A22" s="9" t="str">
        <f>IF('Бүх машин'!A34="","",'Бүх машин'!A34)</f>
        <v>2026/10/05 11:34</v>
      </c>
      <c r="B22" s="9" t="str">
        <f>IF('Бүх машин'!B34="","",'Бүх машин'!B34)</f>
        <v>Honda Nagoya</v>
      </c>
      <c r="C22" s="9" t="str">
        <f>IF('Бүх машин'!C34="","",'Бүх машин'!C34)</f>
        <v>55070</v>
      </c>
      <c r="D22" s="9" t="str">
        <f>IF('Бүх машин'!D34="","",'Бүх машин'!D34)</f>
        <v>Prius Alpha</v>
      </c>
      <c r="E22" s="9" t="str">
        <f>IF('Бүх машин'!F34="","",'Бүх машин'!F34)</f>
        <v>S</v>
      </c>
      <c r="F22" s="10">
        <f>IF('Бүх машин'!G34="","",'Бүх машин'!G34)</f>
        <v>2012</v>
      </c>
      <c r="G22" s="9">
        <f>IF('Бүх машин'!H34="","",'Бүх машин'!H34)</f>
        <v>100000</v>
      </c>
      <c r="H22" s="9" t="str">
        <f>IF('Бүх машин'!K34="","",'Бүх машин'!K34)</f>
        <v>4</v>
      </c>
      <c r="I22" s="9" t="str">
        <f>IF('Бүх машин'!L34="","",'Бүх машин'!L34)</f>
        <v>сувдан цагаан</v>
      </c>
      <c r="J22" s="9">
        <f>IF('Бүх машин'!N34="","",'Бүх машин'!N34)</f>
        <v>301000</v>
      </c>
      <c r="K22" s="9">
        <f>IF('Бүх машин'!O34="","",'Бүх машин'!O34)</f>
        <v>443000</v>
      </c>
      <c r="L22" s="9">
        <f t="shared" si="0"/>
        <v>142000</v>
      </c>
      <c r="M22" s="11">
        <f t="shared" si="1"/>
        <v>0.471760797342193</v>
      </c>
      <c r="N22" s="9">
        <f>IF('Бүх машин'!S34="","",'Бүх машин'!S34)</f>
        <v>20573934.15</v>
      </c>
      <c r="O22" s="9">
        <f>IF('Бүх машин'!T34="","",'Бүх машин'!T34)</f>
        <v>24334683.45</v>
      </c>
      <c r="P22" s="9">
        <f>IF('Бүх машин'!U34="","",'Бүх машин'!U34)</f>
        <v>26516000</v>
      </c>
      <c r="Q22" s="12">
        <f>IF('Бүх машин'!Z34="","",'Бүх машин'!Z34)</f>
        <v>2181316.55</v>
      </c>
      <c r="R22" s="11">
        <f t="shared" si="2"/>
        <v>0.0896381723839519</v>
      </c>
      <c r="S22" s="9">
        <f>IF('Бүх машин'!X34="","",'Бүх машин'!X34)</f>
        <v>5942065.85</v>
      </c>
      <c r="T22" s="9" t="str">
        <f>IF('Бүх машин'!AA34="","",'Бүх машин'!AA34)</f>
        <v>Найдвартай (47 зар)</v>
      </c>
    </row>
    <row r="23" spans="1:20">
      <c r="A23" s="9" t="str">
        <f>IF('Бүх машин'!A35="","",'Бүх машин'!A35)</f>
        <v>2026/10/05 11:09</v>
      </c>
      <c r="B23" s="9" t="str">
        <f>IF('Бүх машин'!B35="","",'Бүх машин'!B35)</f>
        <v>Honda Tokyo</v>
      </c>
      <c r="C23" s="9" t="str">
        <f>IF('Бүх машин'!C35="","",'Бүх машин'!C35)</f>
        <v>20017</v>
      </c>
      <c r="D23" s="9" t="str">
        <f>IF('Бүх машин'!D35="","",'Бүх машин'!D35)</f>
        <v>Prius Alpha</v>
      </c>
      <c r="E23" s="9" t="str">
        <f>IF('Бүх машин'!F35="","",'Бүх машин'!F35)</f>
        <v>S TOURING SELECTION</v>
      </c>
      <c r="F23" s="10">
        <f>IF('Бүх машин'!G35="","",'Бүх машин'!G35)</f>
        <v>2012</v>
      </c>
      <c r="G23" s="9">
        <f>IF('Бүх машин'!H35="","",'Бүх машин'!H35)</f>
        <v>177000</v>
      </c>
      <c r="H23" s="9" t="str">
        <f>IF('Бүх машин'!K35="","",'Бүх машин'!K35)</f>
        <v>3.5</v>
      </c>
      <c r="I23" s="9" t="str">
        <f>IF('Бүх машин'!L35="","",'Бүх машин'!L35)</f>
        <v>цагаан</v>
      </c>
      <c r="J23" s="9">
        <f>IF('Бүх машин'!N35="","",'Бүх машин'!N35)</f>
        <v>290000</v>
      </c>
      <c r="K23" s="9">
        <f>IF('Бүх машин'!O35="","",'Бүх машин'!O35)</f>
        <v>410000</v>
      </c>
      <c r="L23" s="9">
        <f t="shared" si="0"/>
        <v>120000</v>
      </c>
      <c r="M23" s="11">
        <f t="shared" si="1"/>
        <v>0.413793103448276</v>
      </c>
      <c r="N23" s="9">
        <f>IF('Бүх машин'!S35="","",'Бүх машин'!S35)</f>
        <v>20282608.5</v>
      </c>
      <c r="O23" s="9">
        <f>IF('Бүх машин'!T35="","",'Бүх машин'!T35)</f>
        <v>23460706.5</v>
      </c>
      <c r="P23" s="9">
        <f>IF('Бүх машин'!U35="","",'Бүх машин'!U35)</f>
        <v>25937000</v>
      </c>
      <c r="Q23" s="12">
        <f>IF('Бүх машин'!Z35="","",'Бүх машин'!Z35)</f>
        <v>2476293.5</v>
      </c>
      <c r="R23" s="11">
        <f t="shared" si="2"/>
        <v>0.105550678961863</v>
      </c>
      <c r="S23" s="9">
        <f>IF('Бүх машин'!X35="","",'Бүх машин'!X35)</f>
        <v>5654391.5</v>
      </c>
      <c r="T23" s="9" t="str">
        <f>IF('Бүх машин'!AA35="","",'Бүх машин'!AA35)</f>
        <v>Найдвартай (47 зар)</v>
      </c>
    </row>
    <row r="24" spans="1:20">
      <c r="A24" s="9" t="str">
        <f>IF('Бүх машин'!A36="","",'Бүх машин'!A36)</f>
        <v>2026/10/05 10:46</v>
      </c>
      <c r="B24" s="9" t="str">
        <f>IF('Бүх машин'!B36="","",'Бүх машин'!B36)</f>
        <v>Honda Kansai</v>
      </c>
      <c r="C24" s="9" t="str">
        <f>IF('Бүх машин'!C36="","",'Бүх машин'!C36)</f>
        <v>70032</v>
      </c>
      <c r="D24" s="9" t="str">
        <f>IF('Бүх машин'!D36="","",'Бүх машин'!D36)</f>
        <v>Prius Alpha</v>
      </c>
      <c r="E24" s="9" t="str">
        <f>IF('Бүх машин'!F36="","",'Бүх машин'!F36)</f>
        <v>G</v>
      </c>
      <c r="F24" s="10">
        <f>IF('Бүх машин'!G36="","",'Бүх машин'!G36)</f>
        <v>2013</v>
      </c>
      <c r="G24" s="9">
        <f>IF('Бүх машин'!H36="","",'Бүх машин'!H36)</f>
        <v>107000</v>
      </c>
      <c r="H24" s="9" t="str">
        <f>IF('Бүх машин'!K36="","",'Бүх машин'!K36)</f>
        <v>3</v>
      </c>
      <c r="I24" s="9" t="str">
        <f>IF('Бүх машин'!L36="","",'Бүх машин'!L36)</f>
        <v>мөнгөлөг</v>
      </c>
      <c r="J24" s="9">
        <f>IF('Бүх машин'!N36="","",'Бүх машин'!N36)</f>
        <v>280000</v>
      </c>
      <c r="K24" s="9">
        <f>IF('Бүх машин'!O36="","",'Бүх машин'!O36)</f>
        <v>331000</v>
      </c>
      <c r="L24" s="9">
        <f t="shared" si="0"/>
        <v>51000</v>
      </c>
      <c r="M24" s="11">
        <f t="shared" si="1"/>
        <v>0.182142857142857</v>
      </c>
      <c r="N24" s="9">
        <f>IF('Бүх машин'!S36="","",'Бүх машин'!S36)</f>
        <v>20017767</v>
      </c>
      <c r="O24" s="9">
        <f>IF('Бүх машин'!T36="","",'Бүх машин'!T36)</f>
        <v>21368458.65</v>
      </c>
      <c r="P24" s="9">
        <f>IF('Бүх машин'!U36="","",'Бүх машин'!U36)</f>
        <v>26903000</v>
      </c>
      <c r="Q24" s="12">
        <f>IF('Бүх машин'!Z36="","",'Бүх машин'!Z36)</f>
        <v>5534541.35</v>
      </c>
      <c r="R24" s="11">
        <f t="shared" si="2"/>
        <v>0.259005173964665</v>
      </c>
      <c r="S24" s="9">
        <f>IF('Бүх машин'!X36="","",'Бүх машин'!X36)</f>
        <v>6885233</v>
      </c>
      <c r="T24" s="9" t="str">
        <f>IF('Бүх машин'!AA36="","",'Бүх машин'!AA36)</f>
        <v>Найдвартай (40 зар)</v>
      </c>
    </row>
    <row r="25" spans="1:20">
      <c r="A25" s="9" t="str">
        <f>IF('Бүх машин'!A38="","",'Бүх машин'!A38)</f>
        <v>2026/10/05 09:32</v>
      </c>
      <c r="B25" s="9" t="str">
        <f>IF('Бүх машин'!B38="","",'Бүх машин'!B38)</f>
        <v>Honda Kyushu</v>
      </c>
      <c r="C25" s="9" t="str">
        <f>IF('Бүх машин'!C38="","",'Бүх машин'!C38)</f>
        <v>60009</v>
      </c>
      <c r="D25" s="9" t="str">
        <f>IF('Бүх машин'!D38="","",'Бүх машин'!D38)</f>
        <v>Prius Alpha</v>
      </c>
      <c r="E25" s="9" t="str">
        <f>IF('Бүх машин'!F38="","",'Бүх машин'!F38)</f>
        <v>S TUNE BLACK</v>
      </c>
      <c r="F25" s="10">
        <f>IF('Бүх машин'!G38="","",'Бүх машин'!G38)</f>
        <v>2013</v>
      </c>
      <c r="G25" s="9">
        <f>IF('Бүх машин'!H38="","",'Бүх машин'!H38)</f>
        <v>152000</v>
      </c>
      <c r="H25" s="9" t="str">
        <f>IF('Бүх машин'!K38="","",'Бүх машин'!K38)</f>
        <v>3.5</v>
      </c>
      <c r="I25" s="9" t="str">
        <f>IF('Бүх машин'!L38="","",'Бүх машин'!L38)</f>
        <v>сувдан цагаан</v>
      </c>
      <c r="J25" s="9">
        <f>IF('Бүх машин'!N38="","",'Бүх машин'!N38)</f>
        <v>285000</v>
      </c>
      <c r="K25" s="9">
        <f>IF('Бүх машин'!O38="","",'Бүх машин'!O38)</f>
        <v>442000</v>
      </c>
      <c r="L25" s="9">
        <f t="shared" si="0"/>
        <v>157000</v>
      </c>
      <c r="M25" s="11">
        <f t="shared" si="1"/>
        <v>0.550877192982456</v>
      </c>
      <c r="N25" s="9">
        <f>IF('Бүх машин'!S38="","",'Бүх машин'!S38)</f>
        <v>20150187.75</v>
      </c>
      <c r="O25" s="9">
        <f>IF('Бүх машин'!T38="","",'Бүх машин'!T38)</f>
        <v>24308199.3</v>
      </c>
      <c r="P25" s="9">
        <f>IF('Бүх машин'!U38="","",'Бүх машин'!U38)</f>
        <v>26812000</v>
      </c>
      <c r="Q25" s="12">
        <f>IF('Бүх машин'!Z38="","",'Бүх машин'!Z38)</f>
        <v>2503800.7</v>
      </c>
      <c r="R25" s="11">
        <f t="shared" si="2"/>
        <v>0.103002310829334</v>
      </c>
      <c r="S25" s="9">
        <f>IF('Бүх машин'!X38="","",'Бүх машин'!X38)</f>
        <v>6661812.25</v>
      </c>
      <c r="T25" s="9" t="str">
        <f>IF('Бүх машин'!AA38="","",'Бүх машин'!AA38)</f>
        <v>Найдвартай (40 зар)</v>
      </c>
    </row>
    <row r="27" spans="1:20">
      <c r="A27" s="2" t="s">
        <v>241</v>
      </c>
      <c r="J27" s="12">
        <f>IFERROR(AVERAGE(J5:J25),"")</f>
        <v>421714.285714286</v>
      </c>
      <c r="K27" s="12">
        <f>IFERROR(AVERAGE(K5:K25),"")</f>
        <v>580238.095238095</v>
      </c>
      <c r="L27" s="12">
        <f>IFERROR(AVERAGE(L5:L25),"")</f>
        <v>158523.80952381</v>
      </c>
      <c r="M27" s="13">
        <f>IFERROR(AVERAGE(M5:M25),"")</f>
        <v>0.389632622158826</v>
      </c>
      <c r="O27" s="12">
        <f>IFERROR(AVERAGE(O5:O25),"")</f>
        <v>26863817.75</v>
      </c>
      <c r="P27" s="12">
        <f>IFERROR(AVERAGE(P5:P25),"")</f>
        <v>31689666.6666667</v>
      </c>
      <c r="Q27" s="12">
        <f>IFERROR(AVERAGE(Q5:Q25),"")</f>
        <v>4825848.91666667</v>
      </c>
      <c r="R27" s="13">
        <f>IFERROR(AVERAGE(R5:R25),"")</f>
        <v>0.186028305580282</v>
      </c>
    </row>
    <row r="28" spans="1:20">
      <c r="A28" s="14" t="s">
        <v>242</v>
      </c>
    </row>
  </sheetData>
  <autoFilter xmlns:etc="http://www.wps.cn/officeDocument/2017/etCustomData" ref="A4:T25" etc:filterBottomFollowUsedRange="0">
    <extLst/>
  </autoFilter>
  <conditionalFormatting sqref="Q5:Q27">
    <cfRule type="cellIs" dxfId="0" priority="1" operator="greaterThan">
      <formula>0</formula>
    </cfRule>
    <cfRule type="cellIs" dxfId="1" priority="2" operator="lessThan">
      <formula>0</formula>
    </cfRule>
  </conditionalFormatting>
  <conditionalFormatting sqref="R5:R27">
    <cfRule type="cellIs" dxfId="0" priority="3" operator="greaterThan">
      <formula>0</formula>
    </cfRule>
    <cfRule type="cellIs" dxfId="1" priority="4" operator="lessThan">
      <formula>0</formula>
    </cfRule>
  </conditionalFormatting>
  <conditionalFormatting sqref="S5:S27">
    <cfRule type="cellIs" dxfId="0" priority="5" operator="greaterThan">
      <formula>0</formula>
    </cfRule>
    <cfRule type="cellIs" dxfId="1" priority="6" operator="lessThan">
      <formula>0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A1" sqref="A1"/>
    </sheetView>
  </sheetViews>
  <sheetFormatPr defaultColWidth="9" defaultRowHeight="15" outlineLevelCol="5"/>
  <cols>
    <col min="1" max="1" width="16" customWidth="1"/>
    <col min="2" max="6" width="13" customWidth="1"/>
  </cols>
  <sheetData>
    <row r="1" ht="17.25" spans="1:6">
      <c r="A1" s="1" t="s">
        <v>243</v>
      </c>
    </row>
    <row r="3" spans="1:6">
      <c r="A3" s="2" t="s">
        <v>244</v>
      </c>
    </row>
    <row r="4" spans="1:6">
      <c r="A4" s="3" t="s">
        <v>245</v>
      </c>
      <c r="B4" s="3" t="s">
        <v>246</v>
      </c>
      <c r="C4" s="3" t="s">
        <v>247</v>
      </c>
      <c r="D4" s="3" t="s">
        <v>248</v>
      </c>
      <c r="E4" s="3" t="s">
        <v>249</v>
      </c>
      <c r="F4" s="3" t="s">
        <v>250</v>
      </c>
    </row>
    <row r="5" spans="1:6">
      <c r="A5" s="3"/>
      <c r="B5" s="3" t="s">
        <v>251</v>
      </c>
      <c r="C5" s="3">
        <v>0</v>
      </c>
      <c r="D5" s="3">
        <v>4</v>
      </c>
      <c r="E5" s="3">
        <v>7</v>
      </c>
      <c r="F5" s="3">
        <v>10</v>
      </c>
    </row>
    <row r="6" spans="1:6">
      <c r="A6" s="3" t="s">
        <v>252</v>
      </c>
      <c r="B6" s="3">
        <v>1</v>
      </c>
      <c r="C6" s="4">
        <v>375000</v>
      </c>
      <c r="D6" s="4">
        <v>800000</v>
      </c>
      <c r="E6" s="4">
        <v>1675000</v>
      </c>
      <c r="F6" s="4">
        <v>5000000</v>
      </c>
    </row>
    <row r="7" spans="1:6">
      <c r="A7" s="3" t="s">
        <v>253</v>
      </c>
      <c r="B7" s="3">
        <v>1501</v>
      </c>
      <c r="C7" s="4">
        <v>1150000</v>
      </c>
      <c r="D7" s="4">
        <v>1600000</v>
      </c>
      <c r="E7" s="4">
        <v>2500000</v>
      </c>
      <c r="F7" s="4">
        <v>5850000</v>
      </c>
    </row>
    <row r="8" spans="1:6">
      <c r="A8" s="3" t="s">
        <v>254</v>
      </c>
      <c r="B8" s="3">
        <v>2501</v>
      </c>
      <c r="C8" s="4">
        <v>1525000</v>
      </c>
      <c r="D8" s="4">
        <v>2000000</v>
      </c>
      <c r="E8" s="4">
        <v>3350000</v>
      </c>
      <c r="F8" s="4">
        <v>6675000</v>
      </c>
    </row>
    <row r="9" spans="1:6">
      <c r="A9" s="3" t="s">
        <v>255</v>
      </c>
      <c r="B9" s="3">
        <v>3501</v>
      </c>
      <c r="C9" s="4">
        <v>3425375</v>
      </c>
      <c r="D9" s="4">
        <v>4000000</v>
      </c>
      <c r="E9" s="4">
        <v>5425000</v>
      </c>
      <c r="F9" s="4">
        <v>8750000</v>
      </c>
    </row>
    <row r="10" spans="1:6">
      <c r="A10" s="3" t="s">
        <v>256</v>
      </c>
      <c r="B10" s="3">
        <v>4501</v>
      </c>
      <c r="C10" s="4">
        <v>7105000</v>
      </c>
      <c r="D10" s="4">
        <v>13600000</v>
      </c>
      <c r="E10" s="4">
        <v>19575000</v>
      </c>
      <c r="F10" s="4">
        <v>32987500</v>
      </c>
    </row>
    <row r="12" spans="1:6">
      <c r="A12" s="2" t="s">
        <v>257</v>
      </c>
    </row>
    <row r="13" spans="1:6">
      <c r="A13" s="3" t="s">
        <v>245</v>
      </c>
      <c r="B13" s="3" t="s">
        <v>246</v>
      </c>
      <c r="C13" s="3" t="s">
        <v>247</v>
      </c>
      <c r="D13" s="3" t="s">
        <v>248</v>
      </c>
      <c r="E13" s="3" t="s">
        <v>249</v>
      </c>
      <c r="F13" s="3" t="s">
        <v>250</v>
      </c>
    </row>
    <row r="14" spans="1:6">
      <c r="A14" s="3"/>
      <c r="B14" s="3" t="s">
        <v>251</v>
      </c>
      <c r="C14" s="3">
        <v>0</v>
      </c>
      <c r="D14" s="3">
        <v>4</v>
      </c>
      <c r="E14" s="3">
        <v>7</v>
      </c>
      <c r="F14" s="3">
        <v>10</v>
      </c>
    </row>
    <row r="15" spans="1:6">
      <c r="A15" s="3" t="s">
        <v>252</v>
      </c>
      <c r="B15" s="3">
        <v>1</v>
      </c>
      <c r="C15" s="4">
        <v>750000</v>
      </c>
      <c r="D15" s="4">
        <v>1600000</v>
      </c>
      <c r="E15" s="4">
        <v>3350000</v>
      </c>
      <c r="F15" s="4">
        <v>10000000</v>
      </c>
    </row>
    <row r="16" spans="1:6">
      <c r="A16" s="3" t="s">
        <v>253</v>
      </c>
      <c r="B16" s="3">
        <v>1501</v>
      </c>
      <c r="C16" s="4">
        <v>2300000</v>
      </c>
      <c r="D16" s="4">
        <v>3200000</v>
      </c>
      <c r="E16" s="4">
        <v>5000000</v>
      </c>
      <c r="F16" s="4">
        <v>11700000</v>
      </c>
    </row>
    <row r="17" spans="1:6">
      <c r="A17" s="3" t="s">
        <v>254</v>
      </c>
      <c r="B17" s="3">
        <v>2501</v>
      </c>
      <c r="C17" s="4">
        <v>3050000</v>
      </c>
      <c r="D17" s="4">
        <v>4000000</v>
      </c>
      <c r="E17" s="4">
        <v>6700000</v>
      </c>
      <c r="F17" s="4">
        <v>13350000</v>
      </c>
    </row>
    <row r="18" spans="1:6">
      <c r="A18" s="3" t="s">
        <v>255</v>
      </c>
      <c r="B18" s="3">
        <v>3501</v>
      </c>
      <c r="C18" s="4">
        <v>6850750</v>
      </c>
      <c r="D18" s="4">
        <v>8000000</v>
      </c>
      <c r="E18" s="4">
        <v>10850000</v>
      </c>
      <c r="F18" s="4">
        <v>17500000</v>
      </c>
    </row>
    <row r="19" spans="1:6">
      <c r="A19" s="3" t="s">
        <v>256</v>
      </c>
      <c r="B19" s="3">
        <v>4501</v>
      </c>
      <c r="C19" s="4">
        <v>14210000</v>
      </c>
      <c r="D19" s="4">
        <v>27200000</v>
      </c>
      <c r="E19" s="4">
        <v>39150000</v>
      </c>
      <c r="F19" s="4">
        <v>65975000</v>
      </c>
    </row>
    <row r="21" spans="1:6">
      <c r="A21" t="s">
        <v>258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workbookViewId="0">
      <selection activeCell="A1" sqref="A1"/>
    </sheetView>
  </sheetViews>
  <sheetFormatPr defaultColWidth="9" defaultRowHeight="15"/>
  <cols>
    <col min="1" max="1" width="140" customWidth="1"/>
  </cols>
  <sheetData>
    <row r="1" ht="17.25" spans="1:1">
      <c r="A1" s="1" t="s">
        <v>259</v>
      </c>
    </row>
    <row r="2" spans="1:1">
      <c r="A2" t="s">
        <v>260</v>
      </c>
    </row>
    <row r="3" spans="1:1">
      <c r="A3" t="s">
        <v>261</v>
      </c>
    </row>
    <row r="4" spans="1:1">
      <c r="A4" t="s">
        <v>262</v>
      </c>
    </row>
    <row r="5" spans="1:1">
      <c r="A5" t="s">
        <v>263</v>
      </c>
    </row>
    <row r="6" spans="1:1">
      <c r="A6" t="s">
        <v>264</v>
      </c>
    </row>
    <row r="7" spans="1:1">
      <c r="A7" t="s">
        <v>265</v>
      </c>
    </row>
    <row r="8" spans="1:1">
      <c r="A8" t="s">
        <v>266</v>
      </c>
    </row>
    <row r="9" spans="1:1">
      <c r="A9" t="s">
        <v>267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Бүх машин</vt:lpstr>
      <vt:lpstr>Аваагүй машинууд</vt:lpstr>
      <vt:lpstr>Онцгой татвар</vt:lpstr>
      <vt:lpstr>Тайлбар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Jaagii Jak</cp:lastModifiedBy>
  <dcterms:created xsi:type="dcterms:W3CDTF">2026-10-06T07:34:00Z</dcterms:created>
  <dcterms:modified xsi:type="dcterms:W3CDTF">2026-10-06T08:57:11Z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DD9E7D2515594B8ABB4ADBB74C1634F1_12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