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үх машин" sheetId="1" state="visible" r:id="rId1"/>
    <sheet xmlns:r="http://schemas.openxmlformats.org/officeDocument/2006/relationships" name="Аваагүй машинууд" sheetId="2" state="visible" r:id="rId2"/>
    <sheet xmlns:r="http://schemas.openxmlformats.org/officeDocument/2006/relationships" name="Онцгой татвар" sheetId="3" state="visible" r:id="rId3"/>
    <sheet xmlns:r="http://schemas.openxmlformats.org/officeDocument/2006/relationships" name="Тайлбар" sheetId="4" state="visible" r:id="rId4"/>
  </sheets>
  <definedNames>
    <definedName name="_xlnm._FilterDatabase" localSheetId="0" hidden="1">'Бүх машин'!$A$5:$AE$28</definedName>
    <definedName name="_xlnm._FilterDatabase" localSheetId="1" hidden="1">'Аваагүй машинууд'!$A$4:$T$12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595959"/>
      <sz val="9"/>
    </font>
    <font>
      <b val="1"/>
      <color rgb="000000FF"/>
      <sz val="12"/>
    </font>
    <font>
      <i val="1"/>
      <color rgb="007F7F7F"/>
      <sz val="9"/>
    </font>
    <font>
      <color rgb="007F7F7F"/>
      <sz val="9"/>
    </font>
    <font>
      <b val="1"/>
      <color rgb="00FFFFFF"/>
    </font>
    <font>
      <b val="1"/>
      <color rgb="000000FF"/>
    </font>
    <font>
      <b val="1"/>
    </font>
    <font>
      <i val="1"/>
      <sz val="9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4" fillId="2" borderId="1" pivotButton="0" quotePrefix="0" xfId="0"/>
    <xf numFmtId="0" fontId="5" fillId="0" borderId="0" pivotButton="0" quotePrefix="0" xfId="0"/>
    <xf numFmtId="3" fontId="4" fillId="2" borderId="1" pivotButton="0" quotePrefix="0" xfId="0"/>
    <xf numFmtId="164" fontId="4" fillId="2" borderId="1" pivotButton="0" quotePrefix="0" xfId="0"/>
    <xf numFmtId="1" fontId="4" fillId="2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pivotButton="0" quotePrefix="0" xfId="0"/>
    <xf numFmtId="1" fontId="0" fillId="0" borderId="1" pivotButton="0" quotePrefix="0" xfId="0"/>
    <xf numFmtId="3" fontId="0" fillId="0" borderId="1" pivotButton="0" quotePrefix="0" xfId="0"/>
    <xf numFmtId="3" fontId="8" fillId="2" borderId="1" pivotButton="0" quotePrefix="0" xfId="0"/>
    <xf numFmtId="3" fontId="9" fillId="0" borderId="1" pivotButton="0" quotePrefix="0" xfId="0"/>
    <xf numFmtId="164" fontId="0" fillId="0" borderId="1" pivotButton="0" quotePrefix="0" xfId="0"/>
    <xf numFmtId="0" fontId="9" fillId="0" borderId="0" pivotButton="0" quotePrefix="0" xfId="0"/>
    <xf numFmtId="164" fontId="9" fillId="0" borderId="1" pivotButton="0" quotePrefix="0" xfId="0"/>
    <xf numFmtId="0" fontId="10" fillId="0" borderId="0" pivotButton="0" quotePrefix="0" xfId="0"/>
    <xf numFmtId="0" fontId="11" fillId="0" borderId="0" pivotButton="0" quotePrefix="0" xfId="0"/>
    <xf numFmtId="3" fontId="0" fillId="2" borderId="1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3" customWidth="1" min="4" max="4"/>
    <col width="9" customWidth="1" min="5" max="5"/>
    <col width="20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13" customWidth="1" min="12" max="12"/>
    <col width="22" customWidth="1" min="13" max="13"/>
    <col width="12" customWidth="1" min="14" max="14"/>
    <col width="12" customWidth="1" min="15" max="15"/>
    <col width="11" customWidth="1" min="16" max="16"/>
    <col width="5" customWidth="1" min="17" max="17"/>
    <col width="13" customWidth="1" min="18" max="18"/>
    <col width="15" customWidth="1" min="19" max="19"/>
    <col width="15" customWidth="1" min="20" max="20"/>
    <col width="16" customWidth="1" min="21" max="21"/>
    <col width="13" customWidth="1" min="22" max="22"/>
    <col width="13" customWidth="1" min="23" max="23"/>
    <col width="14" customWidth="1" min="24" max="24"/>
    <col width="9" customWidth="1" min="25" max="25"/>
    <col width="14" customWidth="1" min="26" max="26"/>
    <col width="16" customWidth="1" min="27" max="27"/>
    <col width="46" customWidth="1" min="28" max="28"/>
    <col width="11" customWidth="1" min="29" max="29"/>
    <col width="30" customWidth="1" min="30" max="30"/>
    <col hidden="1" width="10" customWidth="1" min="31" max="31"/>
  </cols>
  <sheetData>
    <row r="1">
      <c r="A1" s="1" t="inlineStr">
        <is>
          <t>JP Auction → Монголд буух үнэ ба үнэлгээ</t>
        </is>
      </c>
      <c r="H1" s="2" t="inlineStr">
        <is>
          <t>Шинэчилсэн: 2026-10-05 · Загвар: model_2026-10-04_v6_2026fresh.json</t>
        </is>
      </c>
    </row>
    <row r="2">
      <c r="A2" s="3" t="inlineStr">
        <is>
          <t>Иен ханш, ₮</t>
        </is>
      </c>
      <c r="D2" s="3" t="inlineStr">
        <is>
          <t>Машин бүрт нэмэх, ¥</t>
        </is>
      </c>
      <c r="F2" s="3" t="inlineStr">
        <is>
          <t>Ачилт тээвэр, ₮</t>
        </is>
      </c>
      <c r="H2" s="3" t="inlineStr">
        <is>
          <t>НӨАТ</t>
        </is>
      </c>
      <c r="L2" s="3" t="inlineStr">
        <is>
          <t>Насыг тооцох он</t>
        </is>
      </c>
    </row>
    <row r="3">
      <c r="A3" s="4" t="n">
        <v>23.15</v>
      </c>
      <c r="B3" s="5" t="inlineStr">
        <is>
          <t>← засаж болно (2026-10-05, Голомт банк, JPY бэлэн бус зарах ханш (ikon.mn/xrates))</t>
        </is>
      </c>
      <c r="D3" s="6" t="n">
        <v>100000</v>
      </c>
      <c r="F3" s="6" t="n">
        <v>2768000</v>
      </c>
      <c r="H3" s="7" t="n">
        <v>0.155</v>
      </c>
      <c r="L3" s="8" t="n">
        <v>2026</v>
      </c>
    </row>
    <row r="4">
      <c r="A4" s="9" t="inlineStr">
        <is>
          <t>Шар нүдийг өөрчлөхөд бүх буух үнэ, ашиг дахин бодогдоно. 'Нэмэх, ¥ (гараар)' баганад машин тус бүрийн дүнг оруулж болно (хоосон бол дээрх үндсэн дүн).</t>
        </is>
      </c>
    </row>
    <row r="5" ht="42" customHeight="1">
      <c r="A5" s="10" t="inlineStr">
        <is>
          <t>Хаагдах цаг</t>
        </is>
      </c>
      <c r="B5" s="10" t="inlineStr">
        <is>
          <t>Аукцион</t>
        </is>
      </c>
      <c r="C5" s="10" t="inlineStr">
        <is>
          <t>Лот</t>
        </is>
      </c>
      <c r="D5" s="10" t="inlineStr">
        <is>
          <t>Загвар</t>
        </is>
      </c>
      <c r="E5" s="10" t="inlineStr">
        <is>
          <t>Код</t>
        </is>
      </c>
      <c r="F5" s="10" t="inlineStr">
        <is>
          <t>Комплектац</t>
        </is>
      </c>
      <c r="G5" s="10" t="inlineStr">
        <is>
          <t>Он</t>
        </is>
      </c>
      <c r="H5" s="10" t="inlineStr">
        <is>
          <t>Гүйлт, км</t>
        </is>
      </c>
      <c r="I5" s="10" t="inlineStr">
        <is>
          <t>cc</t>
        </is>
      </c>
      <c r="J5" s="10" t="inlineStr">
        <is>
          <t>Төрөл</t>
        </is>
      </c>
      <c r="K5" s="10" t="inlineStr">
        <is>
          <t>Оноо</t>
        </is>
      </c>
      <c r="L5" s="10" t="inlineStr">
        <is>
          <t>Өнгө</t>
        </is>
      </c>
      <c r="M5" s="10" t="inlineStr">
        <is>
          <t>Төлөв</t>
        </is>
      </c>
      <c r="N5" s="10" t="inlineStr">
        <is>
          <t>Миний үнэ, ¥</t>
        </is>
      </c>
      <c r="O5" s="10" t="inlineStr">
        <is>
          <t>Эцсийн үнэ, ¥</t>
        </is>
      </c>
      <c r="P5" s="10" t="inlineStr">
        <is>
          <t>Нэмэх, ¥ (гараар)</t>
        </is>
      </c>
      <c r="Q5" s="10" t="inlineStr">
        <is>
          <t>Нас</t>
        </is>
      </c>
      <c r="R5" s="10" t="inlineStr">
        <is>
          <t>Онцгой татвар, ₮</t>
        </is>
      </c>
      <c r="S5" s="10" t="inlineStr">
        <is>
          <t>Буух үнэ (миний үнээр), ₮</t>
        </is>
      </c>
      <c r="T5" s="10" t="inlineStr">
        <is>
          <t>Буух үнэ (эцсийн үнээр), ₮</t>
        </is>
      </c>
      <c r="U5" s="11" t="inlineStr">
        <is>
          <t>Монголд зарагдах үнэ (загвар), ₮</t>
        </is>
      </c>
      <c r="V5" s="11" t="inlineStr">
        <is>
          <t>Доод (25%), ₮</t>
        </is>
      </c>
      <c r="W5" s="11" t="inlineStr">
        <is>
          <t>Дээд (75%), ₮</t>
        </is>
      </c>
      <c r="X5" s="10" t="inlineStr">
        <is>
          <t>Ашиг (миний үнээр), ₮</t>
        </is>
      </c>
      <c r="Y5" s="10" t="inlineStr">
        <is>
          <t>Ашгийн хувь</t>
        </is>
      </c>
      <c r="Z5" s="10" t="inlineStr">
        <is>
          <t>Ашиг (эцсийн үнээр), ₮</t>
        </is>
      </c>
      <c r="AA5" s="11" t="inlineStr">
        <is>
          <t>Загварын итгэл</t>
        </is>
      </c>
      <c r="AB5" s="11" t="inlineStr">
        <is>
          <t>Загварт тооцсон шинж</t>
        </is>
      </c>
      <c r="AC5" s="10" t="inlineStr">
        <is>
          <t>Нэмэгдсэн</t>
        </is>
      </c>
      <c r="AD5" s="10" t="inlineStr">
        <is>
          <t>Тэмдэглэл</t>
        </is>
      </c>
      <c r="AE5" s="10" t="inlineStr">
        <is>
          <t>Түлхүүр</t>
        </is>
      </c>
    </row>
    <row r="6">
      <c r="A6" s="12" t="inlineStr">
        <is>
          <t>2026/10/06 12:38</t>
        </is>
      </c>
      <c r="B6" s="12" t="inlineStr">
        <is>
          <t>TAA Kinki</t>
        </is>
      </c>
      <c r="C6" s="12" t="inlineStr">
        <is>
          <t>70060</t>
        </is>
      </c>
      <c r="D6" s="13" t="inlineStr">
        <is>
          <t>Camry</t>
        </is>
      </c>
      <c r="E6" s="13" t="inlineStr">
        <is>
          <t>AXVH70</t>
        </is>
      </c>
      <c r="F6" s="13" t="inlineStr">
        <is>
          <t>G</t>
        </is>
      </c>
      <c r="G6" s="14" t="n">
        <v>2017</v>
      </c>
      <c r="H6" s="15" t="n">
        <v>111000</v>
      </c>
      <c r="I6" s="14" t="n">
        <v>2500</v>
      </c>
      <c r="J6" s="13" t="inlineStr">
        <is>
          <t>Хайбрид</t>
        </is>
      </c>
      <c r="K6" s="13" t="inlineStr">
        <is>
          <t>3.5</t>
        </is>
      </c>
      <c r="L6" s="13" t="inlineStr">
        <is>
          <t>сувдан цагаан</t>
        </is>
      </c>
      <c r="M6" s="13" t="inlineStr">
        <is>
          <t>Хүлээгдэж буй - тэргүүлж байна</t>
        </is>
      </c>
      <c r="N6" s="15" t="n">
        <v>980000</v>
      </c>
      <c r="O6" s="15" t="n"/>
      <c r="P6" s="16" t="n"/>
      <c r="Q6" s="14">
        <f>$L$3-G6</f>
        <v/>
      </c>
      <c r="R6" s="15">
        <f>IF(J6="Хайбрид",INDEX('Онцгой татвар'!$C$6:$F$10,MATCH(I6,'Онцгой татвар'!$B$6:$B$10,1),MATCH(Q6,'Онцгой татвар'!$C$5:$F$5,1)),INDEX('Онцгой татвар'!$C$15:$F$19,MATCH(I6,'Онцгой татвар'!$B$15:$B$19,1),MATCH(Q6,'Онцгой татвар'!$C$14:$F$14,1)))</f>
        <v/>
      </c>
      <c r="S6" s="17">
        <f>IF(N6="","",((N6+IF(P6="",$D$3,P6))*$A$3+$F$3+R6)*(1+$H$3))</f>
        <v/>
      </c>
      <c r="T6" s="15">
        <f>IF(O6="","",((O6+IF(P6="",$D$3,P6))*$A$3+$F$3+R6)*(1+$H$3))</f>
        <v/>
      </c>
      <c r="U6" s="17" t="n">
        <v>46298000</v>
      </c>
      <c r="V6" s="15" t="n">
        <v>44394000</v>
      </c>
      <c r="W6" s="15" t="n">
        <v>48139000</v>
      </c>
      <c r="X6" s="15">
        <f>IF(OR(U6="",S6=""),"",U6-S6)</f>
        <v/>
      </c>
      <c r="Y6" s="18">
        <f>IF(X6="","",X6/S6)</f>
        <v/>
      </c>
      <c r="Z6" s="15">
        <f>IF(OR(U6="",T6=""),"",U6-T6)</f>
        <v/>
      </c>
      <c r="AA6" s="13" t="inlineStr">
        <is>
          <t>Дунд (15 зар)</t>
        </is>
      </c>
      <c r="AB6" s="13" t="inlineStr">
        <is>
          <t>гүйлт 111k +0.7%, өнгө +6.1%, оноо 3.5 -1.2%</t>
        </is>
      </c>
      <c r="AC6" s="13" t="inlineStr">
        <is>
          <t>2026-10-05</t>
        </is>
      </c>
      <c r="AD6" s="13" t="n"/>
      <c r="AE6" s="13" t="inlineStr">
        <is>
          <t>TAA Kinki|70060|2026/10/06</t>
        </is>
      </c>
    </row>
    <row r="7">
      <c r="A7" s="12" t="inlineStr">
        <is>
          <t>2026/10/06 12:21</t>
        </is>
      </c>
      <c r="B7" s="12" t="inlineStr">
        <is>
          <t>TAA Kinki</t>
        </is>
      </c>
      <c r="C7" s="12" t="inlineStr">
        <is>
          <t>665</t>
        </is>
      </c>
      <c r="D7" s="13" t="inlineStr">
        <is>
          <t>Prius Alpha</t>
        </is>
      </c>
      <c r="E7" s="13" t="inlineStr">
        <is>
          <t>ZVW41W</t>
        </is>
      </c>
      <c r="F7" s="13" t="inlineStr">
        <is>
          <t>S TOURING SELECTION</t>
        </is>
      </c>
      <c r="G7" s="14" t="n">
        <v>2014</v>
      </c>
      <c r="H7" s="15" t="n">
        <v>165000</v>
      </c>
      <c r="I7" s="14" t="n">
        <v>1800</v>
      </c>
      <c r="J7" s="13" t="inlineStr">
        <is>
          <t>Хайбрид</t>
        </is>
      </c>
      <c r="K7" s="13" t="inlineStr">
        <is>
          <t>3.5</t>
        </is>
      </c>
      <c r="L7" s="13" t="inlineStr">
        <is>
          <t>саарал</t>
        </is>
      </c>
      <c r="M7" s="13" t="inlineStr">
        <is>
          <t>Хүлээгдэж буй (санал цуцлах товч)</t>
        </is>
      </c>
      <c r="N7" s="15" t="n">
        <v>275000</v>
      </c>
      <c r="O7" s="15" t="n"/>
      <c r="P7" s="16" t="n"/>
      <c r="Q7" s="14">
        <f>$L$3-G7</f>
        <v/>
      </c>
      <c r="R7" s="15">
        <f>IF(J7="Хайбрид",INDEX('Онцгой татвар'!$C$6:$F$10,MATCH(I7,'Онцгой татвар'!$B$6:$B$10,1),MATCH(Q7,'Онцгой татвар'!$C$5:$F$5,1)),INDEX('Онцгой татвар'!$C$15:$F$19,MATCH(I7,'Онцгой татвар'!$B$15:$B$19,1),MATCH(Q7,'Онцгой татвар'!$C$14:$F$14,1)))</f>
        <v/>
      </c>
      <c r="S7" s="17">
        <f>IF(N7="","",((N7+IF(P7="",$D$3,P7))*$A$3+$F$3+R7)*(1+$H$3))</f>
        <v/>
      </c>
      <c r="T7" s="15">
        <f>IF(O7="","",((O7+IF(P7="",$D$3,P7))*$A$3+$F$3+R7)*(1+$H$3))</f>
        <v/>
      </c>
      <c r="U7" s="17" t="n">
        <v>28624000</v>
      </c>
      <c r="V7" s="15" t="n">
        <v>27446000</v>
      </c>
      <c r="W7" s="15" t="n">
        <v>29762000</v>
      </c>
      <c r="X7" s="15">
        <f>IF(OR(U7="",S7=""),"",U7-S7)</f>
        <v/>
      </c>
      <c r="Y7" s="18">
        <f>IF(X7="","",X7/S7)</f>
        <v/>
      </c>
      <c r="Z7" s="15">
        <f>IF(OR(U7="",T7=""),"",U7-T7)</f>
        <v/>
      </c>
      <c r="AA7" s="13" t="inlineStr">
        <is>
          <t>Дунд (17 зар)</t>
        </is>
      </c>
      <c r="AB7" s="13" t="inlineStr">
        <is>
          <t>гүйлт 165k -0.5%, S Touring +4.0%, өнгө +1.8%, оноо 3.5 -1.2%</t>
        </is>
      </c>
      <c r="AC7" s="13" t="inlineStr">
        <is>
          <t>2026-10-05</t>
        </is>
      </c>
      <c r="AD7" s="13" t="n"/>
      <c r="AE7" s="13" t="inlineStr">
        <is>
          <t>TAA Kinki|665|2026/10/06</t>
        </is>
      </c>
    </row>
    <row r="8">
      <c r="A8" s="12" t="inlineStr">
        <is>
          <t>2026/10/06 12:07</t>
        </is>
      </c>
      <c r="B8" s="12" t="inlineStr">
        <is>
          <t>TAA Kinki</t>
        </is>
      </c>
      <c r="C8" s="12" t="inlineStr">
        <is>
          <t>620</t>
        </is>
      </c>
      <c r="D8" s="13" t="inlineStr">
        <is>
          <t>Prius Alpha</t>
        </is>
      </c>
      <c r="E8" s="13" t="inlineStr">
        <is>
          <t>ZVW40W</t>
        </is>
      </c>
      <c r="F8" s="13" t="inlineStr">
        <is>
          <t>S TUNE BLACK</t>
        </is>
      </c>
      <c r="G8" s="14" t="n">
        <v>2014</v>
      </c>
      <c r="H8" s="15" t="n">
        <v>156000</v>
      </c>
      <c r="I8" s="14" t="n">
        <v>1800</v>
      </c>
      <c r="J8" s="13" t="inlineStr">
        <is>
          <t>Хайбрид</t>
        </is>
      </c>
      <c r="K8" s="13" t="inlineStr">
        <is>
          <t>RA</t>
        </is>
      </c>
      <c r="L8" s="13" t="inlineStr">
        <is>
          <t>хар</t>
        </is>
      </c>
      <c r="M8" s="13" t="inlineStr">
        <is>
          <t>Хүлээгдэж буй - хоцорсон</t>
        </is>
      </c>
      <c r="N8" s="15" t="n">
        <v>280000</v>
      </c>
      <c r="O8" s="15" t="n"/>
      <c r="P8" s="16" t="n"/>
      <c r="Q8" s="14">
        <f>$L$3-G8</f>
        <v/>
      </c>
      <c r="R8" s="15">
        <f>IF(J8="Хайбрид",INDEX('Онцгой татвар'!$C$6:$F$10,MATCH(I8,'Онцгой татвар'!$B$6:$B$10,1),MATCH(Q8,'Онцгой татвар'!$C$5:$F$5,1)),INDEX('Онцгой татвар'!$C$15:$F$19,MATCH(I8,'Онцгой татвар'!$B$15:$B$19,1),MATCH(Q8,'Онцгой татвар'!$C$14:$F$14,1)))</f>
        <v/>
      </c>
      <c r="S8" s="17">
        <f>IF(N8="","",((N8+IF(P8="",$D$3,P8))*$A$3+$F$3+R8)*(1+$H$3))</f>
        <v/>
      </c>
      <c r="T8" s="15">
        <f>IF(O8="","",((O8+IF(P8="",$D$3,P8))*$A$3+$F$3+R8)*(1+$H$3))</f>
        <v/>
      </c>
      <c r="U8" s="17" t="n">
        <v>28687000</v>
      </c>
      <c r="V8" s="15" t="n">
        <v>27507000</v>
      </c>
      <c r="W8" s="15" t="n">
        <v>29828000</v>
      </c>
      <c r="X8" s="15">
        <f>IF(OR(U8="",S8=""),"",U8-S8)</f>
        <v/>
      </c>
      <c r="Y8" s="18">
        <f>IF(X8="","",X8/S8)</f>
        <v/>
      </c>
      <c r="Z8" s="15">
        <f>IF(OR(U8="",T8=""),"",U8-T8)</f>
        <v/>
      </c>
      <c r="AA8" s="13" t="inlineStr">
        <is>
          <t>Дунд (17 зар)</t>
        </is>
      </c>
      <c r="AB8" s="13" t="inlineStr">
        <is>
          <t>7 суудал +3.6%, гүйлт 156k -0.2%, S Tune Black +0.8%</t>
        </is>
      </c>
      <c r="AC8" s="13" t="inlineStr">
        <is>
          <t>2026-10-05</t>
        </is>
      </c>
      <c r="AD8" s="13" t="n"/>
      <c r="AE8" s="13" t="inlineStr">
        <is>
          <t>TAA Kinki|620|2026/10/06</t>
        </is>
      </c>
    </row>
    <row r="9">
      <c r="A9" s="12" t="inlineStr">
        <is>
          <t>2026/10/06 11:44</t>
        </is>
      </c>
      <c r="B9" s="12" t="inlineStr">
        <is>
          <t>TAA Kyushu</t>
        </is>
      </c>
      <c r="C9" s="12" t="inlineStr">
        <is>
          <t>9048</t>
        </is>
      </c>
      <c r="D9" s="13" t="inlineStr">
        <is>
          <t>Prius Alpha</t>
        </is>
      </c>
      <c r="E9" s="13" t="inlineStr">
        <is>
          <t>ZVW40W</t>
        </is>
      </c>
      <c r="F9" s="13" t="inlineStr">
        <is>
          <t>G</t>
        </is>
      </c>
      <c r="G9" s="14" t="n">
        <v>2011</v>
      </c>
      <c r="H9" s="15" t="n">
        <v>185000</v>
      </c>
      <c r="I9" s="14" t="n">
        <v>1800</v>
      </c>
      <c r="J9" s="13" t="inlineStr">
        <is>
          <t>Хайбрид</t>
        </is>
      </c>
      <c r="K9" s="13" t="inlineStr">
        <is>
          <t>RA</t>
        </is>
      </c>
      <c r="L9" s="13" t="inlineStr">
        <is>
          <t>сувдан цагаан</t>
        </is>
      </c>
      <c r="M9" s="13" t="inlineStr">
        <is>
          <t>Хүлээгдэж буй - тэргүүлж байна</t>
        </is>
      </c>
      <c r="N9" s="15" t="n">
        <v>275000</v>
      </c>
      <c r="O9" s="15" t="n"/>
      <c r="P9" s="16" t="n"/>
      <c r="Q9" s="14">
        <f>$L$3-G9</f>
        <v/>
      </c>
      <c r="R9" s="15">
        <f>IF(J9="Хайбрид",INDEX('Онцгой татвар'!$C$6:$F$10,MATCH(I9,'Онцгой татвар'!$B$6:$B$10,1),MATCH(Q9,'Онцгой татвар'!$C$5:$F$5,1)),INDEX('Онцгой татвар'!$C$15:$F$19,MATCH(I9,'Онцгой татвар'!$B$15:$B$19,1),MATCH(Q9,'Онцгой татвар'!$C$14:$F$14,1)))</f>
        <v/>
      </c>
      <c r="S9" s="17">
        <f>IF(N9="","",((N9+IF(P9="",$D$3,P9))*$A$3+$F$3+R9)*(1+$H$3))</f>
        <v/>
      </c>
      <c r="T9" s="15">
        <f>IF(O9="","",((O9+IF(P9="",$D$3,P9))*$A$3+$F$3+R9)*(1+$H$3))</f>
        <v/>
      </c>
      <c r="U9" s="17" t="n">
        <v>27087000</v>
      </c>
      <c r="V9" s="15" t="n">
        <v>25973000</v>
      </c>
      <c r="W9" s="15" t="n">
        <v>28165000</v>
      </c>
      <c r="X9" s="15">
        <f>IF(OR(U9="",S9=""),"",U9-S9)</f>
        <v/>
      </c>
      <c r="Y9" s="18">
        <f>IF(X9="","",X9/S9)</f>
        <v/>
      </c>
      <c r="Z9" s="15">
        <f>IF(OR(U9="",T9=""),"",U9-T9)</f>
        <v/>
      </c>
      <c r="AA9" s="13" t="inlineStr">
        <is>
          <t>Дунд (18 зар)</t>
        </is>
      </c>
      <c r="AB9" s="13" t="inlineStr">
        <is>
          <t>7 суудал +3.6%, гүйлт 185k -0.8%, G +1.1%, өнгө +6.1%</t>
        </is>
      </c>
      <c r="AC9" s="13" t="inlineStr">
        <is>
          <t>2026-10-05</t>
        </is>
      </c>
      <c r="AD9" s="13" t="n"/>
      <c r="AE9" s="13" t="inlineStr">
        <is>
          <t>TAA Kyushu|9048|2026/10/06</t>
        </is>
      </c>
    </row>
    <row r="10">
      <c r="A10" s="12" t="inlineStr">
        <is>
          <t>2026/10/06 11:00</t>
        </is>
      </c>
      <c r="B10" s="12" t="inlineStr">
        <is>
          <t>TAA Kyushu</t>
        </is>
      </c>
      <c r="C10" s="12" t="inlineStr">
        <is>
          <t>6130</t>
        </is>
      </c>
      <c r="D10" s="13" t="inlineStr">
        <is>
          <t>Camry</t>
        </is>
      </c>
      <c r="E10" s="13" t="inlineStr">
        <is>
          <t>AXVH70</t>
        </is>
      </c>
      <c r="F10" s="13" t="inlineStr">
        <is>
          <t>WS</t>
        </is>
      </c>
      <c r="G10" s="14" t="n">
        <v>2018</v>
      </c>
      <c r="H10" s="15" t="n">
        <v>145000</v>
      </c>
      <c r="I10" s="14" t="n">
        <v>2500</v>
      </c>
      <c r="J10" s="13" t="inlineStr">
        <is>
          <t>Хайбрид</t>
        </is>
      </c>
      <c r="K10" s="13" t="inlineStr">
        <is>
          <t>4</t>
        </is>
      </c>
      <c r="L10" s="13" t="inlineStr">
        <is>
          <t>сувдан цагаан</t>
        </is>
      </c>
      <c r="M10" s="13" t="inlineStr">
        <is>
          <t>Хүлээгдэж буй - тэргүүлж байна</t>
        </is>
      </c>
      <c r="N10" s="15" t="n">
        <v>1000000</v>
      </c>
      <c r="O10" s="15" t="n"/>
      <c r="P10" s="16" t="n"/>
      <c r="Q10" s="14">
        <f>$L$3-G10</f>
        <v/>
      </c>
      <c r="R10" s="15">
        <f>IF(J10="Хайбрид",INDEX('Онцгой татвар'!$C$6:$F$10,MATCH(I10,'Онцгой татвар'!$B$6:$B$10,1),MATCH(Q10,'Онцгой татвар'!$C$5:$F$5,1)),INDEX('Онцгой татвар'!$C$15:$F$19,MATCH(I10,'Онцгой татвар'!$B$15:$B$19,1),MATCH(Q10,'Онцгой татвар'!$C$14:$F$14,1)))</f>
        <v/>
      </c>
      <c r="S10" s="17">
        <f>IF(N10="","",((N10+IF(P10="",$D$3,P10))*$A$3+$F$3+R10)*(1+$H$3))</f>
        <v/>
      </c>
      <c r="T10" s="15">
        <f>IF(O10="","",((O10+IF(P10="",$D$3,P10))*$A$3+$F$3+R10)*(1+$H$3))</f>
        <v/>
      </c>
      <c r="U10" s="17" t="n">
        <v>54293000</v>
      </c>
      <c r="V10" s="15" t="n">
        <v>52060000</v>
      </c>
      <c r="W10" s="15" t="n">
        <v>56453000</v>
      </c>
      <c r="X10" s="15">
        <f>IF(OR(U10="",S10=""),"",U10-S10)</f>
        <v/>
      </c>
      <c r="Y10" s="18">
        <f>IF(X10="","",X10/S10)</f>
        <v/>
      </c>
      <c r="Z10" s="15">
        <f>IF(OR(U10="",T10=""),"",U10-T10)</f>
        <v/>
      </c>
      <c r="AA10" s="13" t="inlineStr">
        <is>
          <t>Өгөгдөл цөөн (8 зар)</t>
        </is>
      </c>
      <c r="AB10" s="13" t="inlineStr">
        <is>
          <t>гүйлт 145k +0.2%, WS +10.9%, өнгө +6.1%, оноо 4 +0.8%</t>
        </is>
      </c>
      <c r="AC10" s="13" t="inlineStr">
        <is>
          <t>2026-10-05</t>
        </is>
      </c>
      <c r="AD10" s="13" t="n"/>
      <c r="AE10" s="13" t="inlineStr">
        <is>
          <t>TAA Kyushu|6130|2026/10/06</t>
        </is>
      </c>
    </row>
    <row r="11">
      <c r="A11" s="12" t="inlineStr">
        <is>
          <t>2026/10/06 10:57</t>
        </is>
      </c>
      <c r="B11" s="12" t="inlineStr">
        <is>
          <t>TAA Kinki</t>
        </is>
      </c>
      <c r="C11" s="12" t="inlineStr">
        <is>
          <t>387</t>
        </is>
      </c>
      <c r="D11" s="13" t="inlineStr">
        <is>
          <t>Prius</t>
        </is>
      </c>
      <c r="E11" s="13" t="inlineStr">
        <is>
          <t>ZVW51</t>
        </is>
      </c>
      <c r="F11" s="13" t="inlineStr">
        <is>
          <t>A</t>
        </is>
      </c>
      <c r="G11" s="14" t="n">
        <v>2017</v>
      </c>
      <c r="H11" s="15" t="n">
        <v>136000</v>
      </c>
      <c r="I11" s="14" t="n">
        <v>1800</v>
      </c>
      <c r="J11" s="13" t="inlineStr">
        <is>
          <t>Хайбрид</t>
        </is>
      </c>
      <c r="K11" s="13" t="inlineStr">
        <is>
          <t>RA</t>
        </is>
      </c>
      <c r="L11" s="13" t="inlineStr">
        <is>
          <t>мөнгөлөг</t>
        </is>
      </c>
      <c r="M11" s="13" t="inlineStr">
        <is>
          <t>Хүлээгдэж буй - тэргүүлж байна</t>
        </is>
      </c>
      <c r="N11" s="15" t="n">
        <v>660000</v>
      </c>
      <c r="O11" s="15" t="n"/>
      <c r="P11" s="16" t="n"/>
      <c r="Q11" s="14">
        <f>$L$3-G11</f>
        <v/>
      </c>
      <c r="R11" s="15">
        <f>IF(J11="Хайбрид",INDEX('Онцгой татвар'!$C$6:$F$10,MATCH(I11,'Онцгой татвар'!$B$6:$B$10,1),MATCH(Q11,'Онцгой татвар'!$C$5:$F$5,1)),INDEX('Онцгой татвар'!$C$15:$F$19,MATCH(I11,'Онцгой татвар'!$B$15:$B$19,1),MATCH(Q11,'Онцгой татвар'!$C$14:$F$14,1)))</f>
        <v/>
      </c>
      <c r="S11" s="17">
        <f>IF(N11="","",((N11+IF(P11="",$D$3,P11))*$A$3+$F$3+R11)*(1+$H$3))</f>
        <v/>
      </c>
      <c r="T11" s="15">
        <f>IF(O11="","",((O11+IF(P11="",$D$3,P11))*$A$3+$F$3+R11)*(1+$H$3))</f>
        <v/>
      </c>
      <c r="U11" s="17" t="n">
        <v>34277000</v>
      </c>
      <c r="V11" s="15" t="n">
        <v>32867000</v>
      </c>
      <c r="W11" s="15" t="n">
        <v>35640000</v>
      </c>
      <c r="X11" s="15">
        <f>IF(OR(U11="",S11=""),"",U11-S11)</f>
        <v/>
      </c>
      <c r="Y11" s="18">
        <f>IF(X11="","",X11/S11)</f>
        <v/>
      </c>
      <c r="Z11" s="15">
        <f>IF(OR(U11="",T11=""),"",U11-T11)</f>
        <v/>
      </c>
      <c r="AA11" s="13" t="inlineStr">
        <is>
          <t>Найдвартай (32 зар)</t>
        </is>
      </c>
      <c r="AB11" s="13" t="inlineStr">
        <is>
          <t>ZVW51 +7.1%, гүйлт 136k +0.2%, A +4.0%, өнгө +7.1%</t>
        </is>
      </c>
      <c r="AC11" s="13" t="inlineStr">
        <is>
          <t>2026-10-05</t>
        </is>
      </c>
      <c r="AD11" s="13" t="n"/>
      <c r="AE11" s="13" t="inlineStr">
        <is>
          <t>TAA Kinki|387|2026/10/06</t>
        </is>
      </c>
    </row>
    <row r="12">
      <c r="A12" s="12" t="inlineStr">
        <is>
          <t>2026/10/06 10:47</t>
        </is>
      </c>
      <c r="B12" s="12" t="inlineStr">
        <is>
          <t>CAA Gifu</t>
        </is>
      </c>
      <c r="C12" s="12" t="inlineStr">
        <is>
          <t>30167</t>
        </is>
      </c>
      <c r="D12" s="13" t="inlineStr">
        <is>
          <t>Prius Alpha</t>
        </is>
      </c>
      <c r="E12" s="13" t="inlineStr">
        <is>
          <t>ZVW40W</t>
        </is>
      </c>
      <c r="F12" s="13" t="inlineStr">
        <is>
          <t>G</t>
        </is>
      </c>
      <c r="G12" s="14" t="n">
        <v>2011</v>
      </c>
      <c r="H12" s="15" t="n">
        <v>149000</v>
      </c>
      <c r="I12" s="14" t="n">
        <v>1800</v>
      </c>
      <c r="J12" s="13" t="inlineStr">
        <is>
          <t>Хайбрид</t>
        </is>
      </c>
      <c r="K12" s="13" t="inlineStr">
        <is>
          <t>3.5</t>
        </is>
      </c>
      <c r="L12" s="13" t="inlineStr">
        <is>
          <t>сувдан цагаан</t>
        </is>
      </c>
      <c r="M12" s="13" t="inlineStr">
        <is>
          <t>Хүлээгдэж буй - тэргүүлж байна</t>
        </is>
      </c>
      <c r="N12" s="15" t="n">
        <v>305000</v>
      </c>
      <c r="O12" s="15" t="n"/>
      <c r="P12" s="16" t="n"/>
      <c r="Q12" s="14">
        <f>$L$3-G12</f>
        <v/>
      </c>
      <c r="R12" s="15">
        <f>IF(J12="Хайбрид",INDEX('Онцгой татвар'!$C$6:$F$10,MATCH(I12,'Онцгой татвар'!$B$6:$B$10,1),MATCH(Q12,'Онцгой татвар'!$C$5:$F$5,1)),INDEX('Онцгой татвар'!$C$15:$F$19,MATCH(I12,'Онцгой татвар'!$B$15:$B$19,1),MATCH(Q12,'Онцгой татвар'!$C$14:$F$14,1)))</f>
        <v/>
      </c>
      <c r="S12" s="17">
        <f>IF(N12="","",((N12+IF(P12="",$D$3,P12))*$A$3+$F$3+R12)*(1+$H$3))</f>
        <v/>
      </c>
      <c r="T12" s="15">
        <f>IF(O12="","",((O12+IF(P12="",$D$3,P12))*$A$3+$F$3+R12)*(1+$H$3))</f>
        <v/>
      </c>
      <c r="U12" s="17" t="n">
        <v>26983000</v>
      </c>
      <c r="V12" s="15" t="n">
        <v>25874000</v>
      </c>
      <c r="W12" s="15" t="n">
        <v>28057000</v>
      </c>
      <c r="X12" s="15">
        <f>IF(OR(U12="",S12=""),"",U12-S12)</f>
        <v/>
      </c>
      <c r="Y12" s="18">
        <f>IF(X12="","",X12/S12)</f>
        <v/>
      </c>
      <c r="Z12" s="15">
        <f>IF(OR(U12="",T12=""),"",U12-T12)</f>
        <v/>
      </c>
      <c r="AA12" s="13" t="inlineStr">
        <is>
          <t>Дунд (18 зар)</t>
        </is>
      </c>
      <c r="AB12" s="13" t="inlineStr">
        <is>
          <t>7 суудал +3.6%, G +1.1%, өнгө +6.1%, оноо 3.5 -1.2%</t>
        </is>
      </c>
      <c r="AC12" s="13" t="inlineStr">
        <is>
          <t>2026-10-05</t>
        </is>
      </c>
      <c r="AD12" s="13" t="n"/>
      <c r="AE12" s="13" t="inlineStr">
        <is>
          <t>CAA Gifu|30167|2026/10/06</t>
        </is>
      </c>
    </row>
    <row r="13">
      <c r="A13" s="12" t="inlineStr">
        <is>
          <t>2026/10/06 10:19</t>
        </is>
      </c>
      <c r="B13" s="12" t="inlineStr">
        <is>
          <t>CAA Tokyo</t>
        </is>
      </c>
      <c r="C13" s="12" t="inlineStr">
        <is>
          <t>30044</t>
        </is>
      </c>
      <c r="D13" s="13" t="inlineStr">
        <is>
          <t>Prius</t>
        </is>
      </c>
      <c r="E13" s="13" t="inlineStr">
        <is>
          <t>ZVW50</t>
        </is>
      </c>
      <c r="F13" s="13" t="inlineStr">
        <is>
          <t>S TOURING SELECTION</t>
        </is>
      </c>
      <c r="G13" s="14" t="n">
        <v>2018</v>
      </c>
      <c r="H13" s="15" t="n">
        <v>205000</v>
      </c>
      <c r="I13" s="14" t="n">
        <v>1800</v>
      </c>
      <c r="J13" s="13" t="inlineStr">
        <is>
          <t>Хайбрид</t>
        </is>
      </c>
      <c r="K13" s="13" t="inlineStr">
        <is>
          <t>3.5</t>
        </is>
      </c>
      <c r="L13" s="13" t="inlineStr">
        <is>
          <t>сувдан цагаан</t>
        </is>
      </c>
      <c r="M13" s="13" t="inlineStr">
        <is>
          <t>Хүлээгдэж буй - тэргүүлж байна</t>
        </is>
      </c>
      <c r="N13" s="15" t="n">
        <v>500000</v>
      </c>
      <c r="O13" s="15" t="n"/>
      <c r="P13" s="16" t="n"/>
      <c r="Q13" s="14">
        <f>$L$3-G13</f>
        <v/>
      </c>
      <c r="R13" s="15">
        <f>IF(J13="Хайбрид",INDEX('Онцгой татвар'!$C$6:$F$10,MATCH(I13,'Онцгой татвар'!$B$6:$B$10,1),MATCH(Q13,'Онцгой татвар'!$C$5:$F$5,1)),INDEX('Онцгой татвар'!$C$15:$F$19,MATCH(I13,'Онцгой татвар'!$B$15:$B$19,1),MATCH(Q13,'Онцгой татвар'!$C$14:$F$14,1)))</f>
        <v/>
      </c>
      <c r="S13" s="17">
        <f>IF(N13="","",((N13+IF(P13="",$D$3,P13))*$A$3+$F$3+R13)*(1+$H$3))</f>
        <v/>
      </c>
      <c r="T13" s="15">
        <f>IF(O13="","",((O13+IF(P13="",$D$3,P13))*$A$3+$F$3+R13)*(1+$H$3))</f>
        <v/>
      </c>
      <c r="U13" s="17" t="n">
        <v>32969000</v>
      </c>
      <c r="V13" s="15" t="n">
        <v>31613000</v>
      </c>
      <c r="W13" s="15" t="n">
        <v>34280000</v>
      </c>
      <c r="X13" s="15">
        <f>IF(OR(U13="",S13=""),"",U13-S13)</f>
        <v/>
      </c>
      <c r="Y13" s="18">
        <f>IF(X13="","",X13/S13)</f>
        <v/>
      </c>
      <c r="Z13" s="15">
        <f>IF(OR(U13="",T13=""),"",U13-T13)</f>
        <v/>
      </c>
      <c r="AA13" s="13" t="inlineStr">
        <is>
          <t>Өгөгдөл цөөн (7 зар)</t>
        </is>
      </c>
      <c r="AB13" s="13" t="inlineStr">
        <is>
          <t>гүйлт 205k -1.9%, S Touring +5.8%, өнгө +6.1%, оноо 3.5 -1.2%</t>
        </is>
      </c>
      <c r="AC13" s="13" t="inlineStr">
        <is>
          <t>2026-10-05</t>
        </is>
      </c>
      <c r="AD13" s="13" t="n"/>
      <c r="AE13" s="13" t="inlineStr">
        <is>
          <t>CAA Tokyo|30044|2026/10/06</t>
        </is>
      </c>
    </row>
    <row r="14">
      <c r="A14" s="12" t="inlineStr">
        <is>
          <t>2026/10/06 10:11</t>
        </is>
      </c>
      <c r="B14" s="12" t="inlineStr">
        <is>
          <t>CAA Tokyo</t>
        </is>
      </c>
      <c r="C14" s="12" t="inlineStr">
        <is>
          <t>10318</t>
        </is>
      </c>
      <c r="D14" s="13" t="inlineStr">
        <is>
          <t>Prius Alpha</t>
        </is>
      </c>
      <c r="E14" s="13" t="inlineStr">
        <is>
          <t>ZVW41W</t>
        </is>
      </c>
      <c r="F14" s="13" t="inlineStr">
        <is>
          <t>S TOURING SELECTION</t>
        </is>
      </c>
      <c r="G14" s="14" t="n">
        <v>2012</v>
      </c>
      <c r="H14" s="15" t="n">
        <v>161000</v>
      </c>
      <c r="I14" s="14" t="n">
        <v>1800</v>
      </c>
      <c r="J14" s="13" t="inlineStr">
        <is>
          <t>Хайбрид</t>
        </is>
      </c>
      <c r="K14" s="13" t="inlineStr">
        <is>
          <t>3.5</t>
        </is>
      </c>
      <c r="L14" s="13" t="inlineStr">
        <is>
          <t>сувдан цагаан</t>
        </is>
      </c>
      <c r="M14" s="13" t="inlineStr">
        <is>
          <t>Хүлээгдэж буй (санал цуцлах товч)</t>
        </is>
      </c>
      <c r="N14" s="15" t="n">
        <v>295000</v>
      </c>
      <c r="O14" s="15" t="n"/>
      <c r="P14" s="16" t="n"/>
      <c r="Q14" s="14">
        <f>$L$3-G14</f>
        <v/>
      </c>
      <c r="R14" s="15">
        <f>IF(J14="Хайбрид",INDEX('Онцгой татвар'!$C$6:$F$10,MATCH(I14,'Онцгой татвар'!$B$6:$B$10,1),MATCH(Q14,'Онцгой татвар'!$C$5:$F$5,1)),INDEX('Онцгой татвар'!$C$15:$F$19,MATCH(I14,'Онцгой татвар'!$B$15:$B$19,1),MATCH(Q14,'Онцгой татвар'!$C$14:$F$14,1)))</f>
        <v/>
      </c>
      <c r="S14" s="17">
        <f>IF(N14="","",((N14+IF(P14="",$D$3,P14))*$A$3+$F$3+R14)*(1+$H$3))</f>
        <v/>
      </c>
      <c r="T14" s="15">
        <f>IF(O14="","",((O14+IF(P14="",$D$3,P14))*$A$3+$F$3+R14)*(1+$H$3))</f>
        <v/>
      </c>
      <c r="U14" s="17" t="n">
        <v>26634000</v>
      </c>
      <c r="V14" s="15" t="n">
        <v>25539000</v>
      </c>
      <c r="W14" s="15" t="n">
        <v>27694000</v>
      </c>
      <c r="X14" s="15">
        <f>IF(OR(U14="",S14=""),"",U14-S14)</f>
        <v/>
      </c>
      <c r="Y14" s="18">
        <f>IF(X14="","",X14/S14)</f>
        <v/>
      </c>
      <c r="Z14" s="15">
        <f>IF(OR(U14="",T14=""),"",U14-T14)</f>
        <v/>
      </c>
      <c r="AA14" s="13" t="inlineStr">
        <is>
          <t>Найдвартай (47 зар)</t>
        </is>
      </c>
      <c r="AB14" s="13" t="inlineStr">
        <is>
          <t>гүйлт 161k -0.3%, S Touring +4.0%, өнгө +6.1%, оноо 3.5 -1.2%</t>
        </is>
      </c>
      <c r="AC14" s="13" t="inlineStr">
        <is>
          <t>2026-10-05</t>
        </is>
      </c>
      <c r="AD14" s="13" t="n"/>
      <c r="AE14" s="13" t="inlineStr">
        <is>
          <t>CAA Tokyo|10318|2026/10/06</t>
        </is>
      </c>
    </row>
    <row r="15">
      <c r="A15" s="12" t="inlineStr">
        <is>
          <t>2026/10/06 09:54</t>
        </is>
      </c>
      <c r="B15" s="12" t="inlineStr">
        <is>
          <t>TAA Kinki</t>
        </is>
      </c>
      <c r="C15" s="12" t="inlineStr">
        <is>
          <t>180</t>
        </is>
      </c>
      <c r="D15" s="13" t="inlineStr">
        <is>
          <t>Prius Alpha</t>
        </is>
      </c>
      <c r="E15" s="13" t="inlineStr">
        <is>
          <t>ZVW41W</t>
        </is>
      </c>
      <c r="F15" s="13" t="inlineStr">
        <is>
          <t>G</t>
        </is>
      </c>
      <c r="G15" s="14" t="n">
        <v>2012</v>
      </c>
      <c r="H15" s="15" t="n">
        <v>160000</v>
      </c>
      <c r="I15" s="14" t="n">
        <v>1800</v>
      </c>
      <c r="J15" s="13" t="inlineStr">
        <is>
          <t>Хайбрид</t>
        </is>
      </c>
      <c r="K15" s="13" t="inlineStr">
        <is>
          <t>3.5</t>
        </is>
      </c>
      <c r="L15" s="13" t="inlineStr">
        <is>
          <t>мөнгөлөг</t>
        </is>
      </c>
      <c r="M15" s="13" t="inlineStr">
        <is>
          <t>Хүлээгдэж буй - тэргүүлж байна</t>
        </is>
      </c>
      <c r="N15" s="15" t="n">
        <v>270000</v>
      </c>
      <c r="O15" s="15" t="n"/>
      <c r="P15" s="16" t="n"/>
      <c r="Q15" s="14">
        <f>$L$3-G15</f>
        <v/>
      </c>
      <c r="R15" s="15">
        <f>IF(J15="Хайбрид",INDEX('Онцгой татвар'!$C$6:$F$10,MATCH(I15,'Онцгой татвар'!$B$6:$B$10,1),MATCH(Q15,'Онцгой татвар'!$C$5:$F$5,1)),INDEX('Онцгой татвар'!$C$15:$F$19,MATCH(I15,'Онцгой татвар'!$B$15:$B$19,1),MATCH(Q15,'Онцгой татвар'!$C$14:$F$14,1)))</f>
        <v/>
      </c>
      <c r="S15" s="17">
        <f>IF(N15="","",((N15+IF(P15="",$D$3,P15))*$A$3+$F$3+R15)*(1+$H$3))</f>
        <v/>
      </c>
      <c r="T15" s="15">
        <f>IF(O15="","",((O15+IF(P15="",$D$3,P15))*$A$3+$F$3+R15)*(1+$H$3))</f>
        <v/>
      </c>
      <c r="U15" s="17" t="n">
        <v>26164000</v>
      </c>
      <c r="V15" s="15" t="n">
        <v>25088000</v>
      </c>
      <c r="W15" s="15" t="n">
        <v>27204000</v>
      </c>
      <c r="X15" s="15">
        <f>IF(OR(U15="",S15=""),"",U15-S15)</f>
        <v/>
      </c>
      <c r="Y15" s="18">
        <f>IF(X15="","",X15/S15)</f>
        <v/>
      </c>
      <c r="Z15" s="15">
        <f>IF(OR(U15="",T15=""),"",U15-T15)</f>
        <v/>
      </c>
      <c r="AA15" s="13" t="inlineStr">
        <is>
          <t>Найдвартай (47 зар)</t>
        </is>
      </c>
      <c r="AB15" s="13" t="inlineStr">
        <is>
          <t>гүйлт 160k -0.3%, G +1.1%, өнгө +7.1%, оноо 3.5 -1.2%</t>
        </is>
      </c>
      <c r="AC15" s="13" t="inlineStr">
        <is>
          <t>2026-10-05</t>
        </is>
      </c>
      <c r="AD15" s="13" t="n"/>
      <c r="AE15" s="13" t="inlineStr">
        <is>
          <t>TAA Kinki|180|2026/10/06</t>
        </is>
      </c>
    </row>
    <row r="16">
      <c r="A16" s="12" t="inlineStr">
        <is>
          <t>2026/10/06 09:50</t>
        </is>
      </c>
      <c r="B16" s="12" t="inlineStr">
        <is>
          <t>TAA Hiroshima</t>
        </is>
      </c>
      <c r="C16" s="12" t="inlineStr">
        <is>
          <t>174</t>
        </is>
      </c>
      <c r="D16" s="13" t="inlineStr">
        <is>
          <t>Prius</t>
        </is>
      </c>
      <c r="E16" s="13" t="inlineStr">
        <is>
          <t>ZVW51</t>
        </is>
      </c>
      <c r="F16" s="13" t="inlineStr">
        <is>
          <t>A PREMIUM</t>
        </is>
      </c>
      <c r="G16" s="14" t="n">
        <v>2017</v>
      </c>
      <c r="H16" s="15" t="n">
        <v>189000</v>
      </c>
      <c r="I16" s="14" t="n">
        <v>1800</v>
      </c>
      <c r="J16" s="13" t="inlineStr">
        <is>
          <t>Хайбрид</t>
        </is>
      </c>
      <c r="K16" s="13" t="inlineStr">
        <is>
          <t>3.5</t>
        </is>
      </c>
      <c r="L16" s="13" t="inlineStr">
        <is>
          <t>цагаан</t>
        </is>
      </c>
      <c r="M16" s="13" t="inlineStr">
        <is>
          <t>Хүлээгдэж буй - тэргүүлж байна</t>
        </is>
      </c>
      <c r="N16" s="15" t="n">
        <v>530000</v>
      </c>
      <c r="O16" s="15" t="n"/>
      <c r="P16" s="16" t="n"/>
      <c r="Q16" s="14">
        <f>$L$3-G16</f>
        <v/>
      </c>
      <c r="R16" s="15">
        <f>IF(J16="Хайбрид",INDEX('Онцгой татвар'!$C$6:$F$10,MATCH(I16,'Онцгой татвар'!$B$6:$B$10,1),MATCH(Q16,'Онцгой татвар'!$C$5:$F$5,1)),INDEX('Онцгой татвар'!$C$15:$F$19,MATCH(I16,'Онцгой татвар'!$B$15:$B$19,1),MATCH(Q16,'Онцгой татвар'!$C$14:$F$14,1)))</f>
        <v/>
      </c>
      <c r="S16" s="17">
        <f>IF(N16="","",((N16+IF(P16="",$D$3,P16))*$A$3+$F$3+R16)*(1+$H$3))</f>
        <v/>
      </c>
      <c r="T16" s="15">
        <f>IF(O16="","",((O16+IF(P16="",$D$3,P16))*$A$3+$F$3+R16)*(1+$H$3))</f>
        <v/>
      </c>
      <c r="U16" s="17" t="n">
        <v>34406000</v>
      </c>
      <c r="V16" s="15" t="n">
        <v>32991000</v>
      </c>
      <c r="W16" s="15" t="n">
        <v>35775000</v>
      </c>
      <c r="X16" s="15">
        <f>IF(OR(U16="",S16=""),"",U16-S16)</f>
        <v/>
      </c>
      <c r="Y16" s="18">
        <f>IF(X16="","",X16/S16)</f>
        <v/>
      </c>
      <c r="Z16" s="15">
        <f>IF(OR(U16="",T16=""),"",U16-T16)</f>
        <v/>
      </c>
      <c r="AA16" s="13" t="inlineStr">
        <is>
          <t>Найдвартай (32 зар)</t>
        </is>
      </c>
      <c r="AB16" s="13" t="inlineStr">
        <is>
          <t>ZVW51 +7.1%, гүйлт 189k -1.0%, A Premium +10.5%, өнгө +3.8%, оноо 3.5 -1.2%</t>
        </is>
      </c>
      <c r="AC16" s="13" t="inlineStr">
        <is>
          <t>2026-10-05</t>
        </is>
      </c>
      <c r="AD16" s="13" t="n"/>
      <c r="AE16" s="13" t="inlineStr">
        <is>
          <t>TAA Hiroshima|174|2026/10/06</t>
        </is>
      </c>
    </row>
    <row r="17">
      <c r="A17" s="12" t="inlineStr">
        <is>
          <t>2026/10/06 09:37</t>
        </is>
      </c>
      <c r="B17" s="12" t="inlineStr">
        <is>
          <t>CAA Tokyo</t>
        </is>
      </c>
      <c r="C17" s="12" t="inlineStr">
        <is>
          <t>10170</t>
        </is>
      </c>
      <c r="D17" s="13" t="inlineStr">
        <is>
          <t>Prius Alpha</t>
        </is>
      </c>
      <c r="E17" s="13" t="inlineStr">
        <is>
          <t>ZVW41W</t>
        </is>
      </c>
      <c r="F17" s="13" t="inlineStr">
        <is>
          <t>G TOURING SELECTION</t>
        </is>
      </c>
      <c r="G17" s="14" t="n">
        <v>2012</v>
      </c>
      <c r="H17" s="15" t="n">
        <v>169000</v>
      </c>
      <c r="I17" s="14" t="n">
        <v>1800</v>
      </c>
      <c r="J17" s="13" t="inlineStr">
        <is>
          <t>Хайбрид</t>
        </is>
      </c>
      <c r="K17" s="13" t="inlineStr">
        <is>
          <t>3.5</t>
        </is>
      </c>
      <c r="L17" s="13" t="inlineStr">
        <is>
          <t>сувдан цагаан</t>
        </is>
      </c>
      <c r="M17" s="13" t="inlineStr">
        <is>
          <t>Хүлээгдэж буй (санал цуцлах товч)</t>
        </is>
      </c>
      <c r="N17" s="15" t="n">
        <v>295000</v>
      </c>
      <c r="O17" s="15" t="n"/>
      <c r="P17" s="16" t="n"/>
      <c r="Q17" s="14">
        <f>$L$3-G17</f>
        <v/>
      </c>
      <c r="R17" s="15">
        <f>IF(J17="Хайбрид",INDEX('Онцгой татвар'!$C$6:$F$10,MATCH(I17,'Онцгой татвар'!$B$6:$B$10,1),MATCH(Q17,'Онцгой татвар'!$C$5:$F$5,1)),INDEX('Онцгой татвар'!$C$15:$F$19,MATCH(I17,'Онцгой татвар'!$B$15:$B$19,1),MATCH(Q17,'Онцгой татвар'!$C$14:$F$14,1)))</f>
        <v/>
      </c>
      <c r="S17" s="17">
        <f>IF(N17="","",((N17+IF(P17="",$D$3,P17))*$A$3+$F$3+R17)*(1+$H$3))</f>
        <v/>
      </c>
      <c r="T17" s="15">
        <f>IF(O17="","",((O17+IF(P17="",$D$3,P17))*$A$3+$F$3+R17)*(1+$H$3))</f>
        <v/>
      </c>
      <c r="U17" s="17" t="n">
        <v>26387000</v>
      </c>
      <c r="V17" s="15" t="n">
        <v>25302000</v>
      </c>
      <c r="W17" s="15" t="n">
        <v>27436000</v>
      </c>
      <c r="X17" s="15">
        <f>IF(OR(U17="",S17=""),"",U17-S17)</f>
        <v/>
      </c>
      <c r="Y17" s="18">
        <f>IF(X17="","",X17/S17)</f>
        <v/>
      </c>
      <c r="Z17" s="15">
        <f>IF(OR(U17="",T17=""),"",U17-T17)</f>
        <v/>
      </c>
      <c r="AA17" s="13" t="inlineStr">
        <is>
          <t>Найдвартай (47 зар)</t>
        </is>
      </c>
      <c r="AB17" s="13" t="inlineStr">
        <is>
          <t>гүйлт 169k -0.5%, G Touring +3.2%, өнгө +6.1%, оноо 3.5 -1.2%</t>
        </is>
      </c>
      <c r="AC17" s="13" t="inlineStr">
        <is>
          <t>2026-10-05</t>
        </is>
      </c>
      <c r="AD17" s="13" t="n"/>
      <c r="AE17" s="13" t="inlineStr">
        <is>
          <t>CAA Tokyo|10170|2026/10/06</t>
        </is>
      </c>
    </row>
    <row r="18">
      <c r="A18" s="12" t="inlineStr">
        <is>
          <t>2026/10/06 09:01</t>
        </is>
      </c>
      <c r="B18" s="12" t="inlineStr">
        <is>
          <t>TAA Kinki</t>
        </is>
      </c>
      <c r="C18" s="12" t="inlineStr">
        <is>
          <t>7</t>
        </is>
      </c>
      <c r="D18" s="13" t="inlineStr">
        <is>
          <t>Camry</t>
        </is>
      </c>
      <c r="E18" s="13" t="inlineStr">
        <is>
          <t>AXVH70</t>
        </is>
      </c>
      <c r="F18" s="13" t="inlineStr">
        <is>
          <t>G LEATHER PACKAGE</t>
        </is>
      </c>
      <c r="G18" s="14" t="n">
        <v>2019</v>
      </c>
      <c r="H18" s="15" t="n">
        <v>143000</v>
      </c>
      <c r="I18" s="14" t="n">
        <v>2500</v>
      </c>
      <c r="J18" s="13" t="inlineStr">
        <is>
          <t>Хайбрид</t>
        </is>
      </c>
      <c r="K18" s="13" t="inlineStr">
        <is>
          <t>4</t>
        </is>
      </c>
      <c r="L18" s="13" t="inlineStr">
        <is>
          <t>хар</t>
        </is>
      </c>
      <c r="M18" s="13" t="inlineStr">
        <is>
          <t>Хүлээгдэж буй - тэргүүлж байна</t>
        </is>
      </c>
      <c r="N18" s="15" t="n">
        <v>950000</v>
      </c>
      <c r="O18" s="15" t="n"/>
      <c r="P18" s="16" t="n"/>
      <c r="Q18" s="14">
        <f>$L$3-G18</f>
        <v/>
      </c>
      <c r="R18" s="15">
        <f>IF(J18="Хайбрид",INDEX('Онцгой татвар'!$C$6:$F$10,MATCH(I18,'Онцгой татвар'!$B$6:$B$10,1),MATCH(Q18,'Онцгой татвар'!$C$5:$F$5,1)),INDEX('Онцгой татвар'!$C$15:$F$19,MATCH(I18,'Онцгой татвар'!$B$15:$B$19,1),MATCH(Q18,'Онцгой татвар'!$C$14:$F$14,1)))</f>
        <v/>
      </c>
      <c r="S18" s="17">
        <f>IF(N18="","",((N18+IF(P18="",$D$3,P18))*$A$3+$F$3+R18)*(1+$H$3))</f>
        <v/>
      </c>
      <c r="T18" s="15">
        <f>IF(O18="","",((O18+IF(P18="",$D$3,P18))*$A$3+$F$3+R18)*(1+$H$3))</f>
        <v/>
      </c>
      <c r="U18" s="17" t="n">
        <v>53395000</v>
      </c>
      <c r="V18" s="15" t="n">
        <v>51199000</v>
      </c>
      <c r="W18" s="15" t="n">
        <v>55519000</v>
      </c>
      <c r="X18" s="15">
        <f>IF(OR(U18="",S18=""),"",U18-S18)</f>
        <v/>
      </c>
      <c r="Y18" s="18">
        <f>IF(X18="","",X18/S18)</f>
        <v/>
      </c>
      <c r="Z18" s="15">
        <f>IF(OR(U18="",T18=""),"",U18-T18)</f>
        <v/>
      </c>
      <c r="AA18" s="13" t="inlineStr">
        <is>
          <t>Өгөгдөл цөөн (5 зар)</t>
        </is>
      </c>
      <c r="AB18" s="13" t="inlineStr">
        <is>
          <t>гүйлт 143k +0.3%, G Leather +10.0%, оноо 4 +0.8%</t>
        </is>
      </c>
      <c r="AC18" s="13" t="inlineStr">
        <is>
          <t>2026-10-05</t>
        </is>
      </c>
      <c r="AD18" s="13" t="n"/>
      <c r="AE18" s="13" t="inlineStr">
        <is>
          <t>TAA Kinki|7|2026/10/06</t>
        </is>
      </c>
    </row>
    <row r="19">
      <c r="A19" s="12" t="inlineStr">
        <is>
          <t>2026/10/05 14:40</t>
        </is>
      </c>
      <c r="B19" s="12" t="inlineStr">
        <is>
          <t>Honda Nagoya</t>
        </is>
      </c>
      <c r="C19" s="12" t="inlineStr">
        <is>
          <t>55383</t>
        </is>
      </c>
      <c r="D19" s="13" t="inlineStr">
        <is>
          <t>Prius Alpha</t>
        </is>
      </c>
      <c r="E19" s="13" t="inlineStr">
        <is>
          <t>ZVW41W</t>
        </is>
      </c>
      <c r="F19" s="13" t="inlineStr">
        <is>
          <t>G</t>
        </is>
      </c>
      <c r="G19" s="14" t="n">
        <v>2014</v>
      </c>
      <c r="H19" s="15" t="n">
        <v>98000</v>
      </c>
      <c r="I19" s="14" t="n">
        <v>1800</v>
      </c>
      <c r="J19" s="13" t="inlineStr">
        <is>
          <t>Хайбрид</t>
        </is>
      </c>
      <c r="K19" s="13" t="inlineStr">
        <is>
          <t>R</t>
        </is>
      </c>
      <c r="L19" s="13" t="inlineStr">
        <is>
          <t>мөнгөлөг</t>
        </is>
      </c>
      <c r="M19" s="13" t="inlineStr">
        <is>
          <t>Аваагүй (өөр хүнд)</t>
        </is>
      </c>
      <c r="N19" s="15" t="n">
        <v>300000</v>
      </c>
      <c r="O19" s="15" t="n">
        <v>423000</v>
      </c>
      <c r="P19" s="16" t="n"/>
      <c r="Q19" s="14">
        <f>$L$3-G19</f>
        <v/>
      </c>
      <c r="R19" s="15">
        <f>IF(J19="Хайбрид",INDEX('Онцгой татвар'!$C$6:$F$10,MATCH(I19,'Онцгой татвар'!$B$6:$B$10,1),MATCH(Q19,'Онцгой татвар'!$C$5:$F$5,1)),INDEX('Онцгой татвар'!$C$15:$F$19,MATCH(I19,'Онцгой татвар'!$B$15:$B$19,1),MATCH(Q19,'Онцгой татвар'!$C$14:$F$14,1)))</f>
        <v/>
      </c>
      <c r="S19" s="17">
        <f>IF(N19="","",((N19+IF(P19="",$D$3,P19))*$A$3+$F$3+R19)*(1+$H$3))</f>
        <v/>
      </c>
      <c r="T19" s="15">
        <f>IF(O19="","",((O19+IF(P19="",$D$3,P19))*$A$3+$F$3+R19)*(1+$H$3))</f>
        <v/>
      </c>
      <c r="U19" s="17" t="n">
        <v>30251000</v>
      </c>
      <c r="V19" s="15" t="n">
        <v>29006000</v>
      </c>
      <c r="W19" s="15" t="n">
        <v>31454000</v>
      </c>
      <c r="X19" s="15">
        <f>IF(OR(U19="",S19=""),"",U19-S19)</f>
        <v/>
      </c>
      <c r="Y19" s="18">
        <f>IF(X19="","",X19/S19)</f>
        <v/>
      </c>
      <c r="Z19" s="15">
        <f>IF(OR(U19="",T19=""),"",U19-T19)</f>
        <v/>
      </c>
      <c r="AA19" s="13" t="inlineStr">
        <is>
          <t>Дунд (17 зар)</t>
        </is>
      </c>
      <c r="AB19" s="13" t="inlineStr">
        <is>
          <t>гүйлт 98k +1.5%, G +1.1%, өнгө +7.1%</t>
        </is>
      </c>
      <c r="AC19" s="13" t="inlineStr">
        <is>
          <t>2026-10-05</t>
        </is>
      </c>
      <c r="AD19" s="13" t="n"/>
      <c r="AE19" s="13" t="inlineStr">
        <is>
          <t>Honda Nagoya|55383|2026/10/05</t>
        </is>
      </c>
    </row>
    <row r="20">
      <c r="A20" s="12" t="inlineStr">
        <is>
          <t>2026/10/05 14:01</t>
        </is>
      </c>
      <c r="B20" s="12" t="inlineStr">
        <is>
          <t>JU Tokyo</t>
        </is>
      </c>
      <c r="C20" s="12" t="inlineStr">
        <is>
          <t>8437</t>
        </is>
      </c>
      <c r="D20" s="13" t="inlineStr">
        <is>
          <t>Prius Alpha</t>
        </is>
      </c>
      <c r="E20" s="13" t="inlineStr">
        <is>
          <t>ZVW41W</t>
        </is>
      </c>
      <c r="F20" s="13" t="inlineStr">
        <is>
          <t>G</t>
        </is>
      </c>
      <c r="G20" s="14" t="n">
        <v>2012</v>
      </c>
      <c r="H20" s="15" t="n">
        <v>209000</v>
      </c>
      <c r="I20" s="14" t="n">
        <v>1800</v>
      </c>
      <c r="J20" s="13" t="inlineStr">
        <is>
          <t>Хайбрид</t>
        </is>
      </c>
      <c r="K20" s="13" t="inlineStr">
        <is>
          <t>3.5</t>
        </is>
      </c>
      <c r="L20" s="13" t="inlineStr">
        <is>
          <t>саарал</t>
        </is>
      </c>
      <c r="M20" s="13" t="inlineStr">
        <is>
          <t>Car Problem</t>
        </is>
      </c>
      <c r="N20" s="15" t="n">
        <v>220000</v>
      </c>
      <c r="O20" s="15" t="n"/>
      <c r="P20" s="16" t="n"/>
      <c r="Q20" s="14">
        <f>$L$3-G20</f>
        <v/>
      </c>
      <c r="R20" s="15">
        <f>IF(J20="Хайбрид",INDEX('Онцгой татвар'!$C$6:$F$10,MATCH(I20,'Онцгой татвар'!$B$6:$B$10,1),MATCH(Q20,'Онцгой татвар'!$C$5:$F$5,1)),INDEX('Онцгой татвар'!$C$15:$F$19,MATCH(I20,'Онцгой татвар'!$B$15:$B$19,1),MATCH(Q20,'Онцгой татвар'!$C$14:$F$14,1)))</f>
        <v/>
      </c>
      <c r="S20" s="17">
        <f>IF(N20="","",((N20+IF(P20="",$D$3,P20))*$A$3+$F$3+R20)*(1+$H$3))</f>
        <v/>
      </c>
      <c r="T20" s="15">
        <f>IF(O20="","",((O20+IF(P20="",$D$3,P20))*$A$3+$F$3+R20)*(1+$H$3))</f>
        <v/>
      </c>
      <c r="U20" s="17" t="n">
        <v>24522000</v>
      </c>
      <c r="V20" s="15" t="n">
        <v>23514000</v>
      </c>
      <c r="W20" s="15" t="n">
        <v>25498000</v>
      </c>
      <c r="X20" s="15">
        <f>IF(OR(U20="",S20=""),"",U20-S20)</f>
        <v/>
      </c>
      <c r="Y20" s="18">
        <f>IF(X20="","",X20/S20)</f>
        <v/>
      </c>
      <c r="Z20" s="15">
        <f>IF(OR(U20="",T20=""),"",U20-T20)</f>
        <v/>
      </c>
      <c r="AA20" s="13" t="inlineStr">
        <is>
          <t>Найдвартай (47 зар)</t>
        </is>
      </c>
      <c r="AB20" s="13" t="inlineStr">
        <is>
          <t>гүйлт 209k -1.6%, G +1.1%, өнгө +1.8%, оноо 3.5 -1.2%</t>
        </is>
      </c>
      <c r="AC20" s="13" t="inlineStr">
        <is>
          <t>2026-10-05</t>
        </is>
      </c>
      <c r="AD20" s="13" t="n"/>
      <c r="AE20" s="13" t="inlineStr">
        <is>
          <t>JU Tokyo|8437|2026/10/05</t>
        </is>
      </c>
    </row>
    <row r="21">
      <c r="A21" s="12" t="inlineStr">
        <is>
          <t>2026/10/05 13:47</t>
        </is>
      </c>
      <c r="B21" s="12" t="inlineStr">
        <is>
          <t>Honda Tokyo</t>
        </is>
      </c>
      <c r="C21" s="12" t="inlineStr">
        <is>
          <t>20287</t>
        </is>
      </c>
      <c r="D21" s="13" t="inlineStr">
        <is>
          <t>Prius Alpha</t>
        </is>
      </c>
      <c r="E21" s="13" t="inlineStr">
        <is>
          <t>ZVW41W</t>
        </is>
      </c>
      <c r="F21" s="13" t="inlineStr">
        <is>
          <t>S TUNE BLACK</t>
        </is>
      </c>
      <c r="G21" s="14" t="n">
        <v>2014</v>
      </c>
      <c r="H21" s="15" t="n">
        <v>140000</v>
      </c>
      <c r="I21" s="14" t="n">
        <v>1800</v>
      </c>
      <c r="J21" s="13" t="inlineStr">
        <is>
          <t>Хайбрид</t>
        </is>
      </c>
      <c r="K21" s="13" t="inlineStr">
        <is>
          <t>R</t>
        </is>
      </c>
      <c r="L21" s="13" t="inlineStr">
        <is>
          <t>хар</t>
        </is>
      </c>
      <c r="M21" s="13" t="inlineStr">
        <is>
          <t>Аваагүй (өөр хүнд)</t>
        </is>
      </c>
      <c r="N21" s="15" t="n">
        <v>220000</v>
      </c>
      <c r="O21" s="15" t="n">
        <v>311000</v>
      </c>
      <c r="P21" s="16" t="n"/>
      <c r="Q21" s="14">
        <f>$L$3-G21</f>
        <v/>
      </c>
      <c r="R21" s="15">
        <f>IF(J21="Хайбрид",INDEX('Онцгой татвар'!$C$6:$F$10,MATCH(I21,'Онцгой татвар'!$B$6:$B$10,1),MATCH(Q21,'Онцгой татвар'!$C$5:$F$5,1)),INDEX('Онцгой татвар'!$C$15:$F$19,MATCH(I21,'Онцгой татвар'!$B$15:$B$19,1),MATCH(Q21,'Онцгой татвар'!$C$14:$F$14,1)))</f>
        <v/>
      </c>
      <c r="S21" s="17">
        <f>IF(N21="","",((N21+IF(P21="",$D$3,P21))*$A$3+$F$3+R21)*(1+$H$3))</f>
        <v/>
      </c>
      <c r="T21" s="15">
        <f>IF(O21="","",((O21+IF(P21="",$D$3,P21))*$A$3+$F$3+R21)*(1+$H$3))</f>
        <v/>
      </c>
      <c r="U21" s="17" t="n">
        <v>27823000</v>
      </c>
      <c r="V21" s="15" t="n">
        <v>26679000</v>
      </c>
      <c r="W21" s="15" t="n">
        <v>28930000</v>
      </c>
      <c r="X21" s="15">
        <f>IF(OR(U21="",S21=""),"",U21-S21)</f>
        <v/>
      </c>
      <c r="Y21" s="18">
        <f>IF(X21="","",X21/S21)</f>
        <v/>
      </c>
      <c r="Z21" s="15">
        <f>IF(OR(U21="",T21=""),"",U21-T21)</f>
        <v/>
      </c>
      <c r="AA21" s="13" t="inlineStr">
        <is>
          <t>Дунд (17 зар)</t>
        </is>
      </c>
      <c r="AB21" s="13" t="inlineStr">
        <is>
          <t>гүйлт 140k +0.3%, S Tune Black +0.8%</t>
        </is>
      </c>
      <c r="AC21" s="13" t="inlineStr">
        <is>
          <t>2026-10-05</t>
        </is>
      </c>
      <c r="AD21" s="13" t="n"/>
      <c r="AE21" s="13" t="inlineStr">
        <is>
          <t>Honda Tokyo|20287|2026/10/05</t>
        </is>
      </c>
    </row>
    <row r="22">
      <c r="A22" s="12" t="inlineStr">
        <is>
          <t>2026/10/05 12:29</t>
        </is>
      </c>
      <c r="B22" s="12" t="inlineStr">
        <is>
          <t>Honda Sendai</t>
        </is>
      </c>
      <c r="C22" s="12" t="inlineStr">
        <is>
          <t>40063</t>
        </is>
      </c>
      <c r="D22" s="13" t="inlineStr">
        <is>
          <t>Prius Alpha</t>
        </is>
      </c>
      <c r="E22" s="13" t="inlineStr">
        <is>
          <t>ZVW41W</t>
        </is>
      </c>
      <c r="F22" s="13" t="inlineStr">
        <is>
          <t>S TUNE BLACK</t>
        </is>
      </c>
      <c r="G22" s="14" t="n">
        <v>2013</v>
      </c>
      <c r="H22" s="15" t="n">
        <v>163000</v>
      </c>
      <c r="I22" s="14" t="n">
        <v>1800</v>
      </c>
      <c r="J22" s="13" t="inlineStr">
        <is>
          <t>Хайбрид</t>
        </is>
      </c>
      <c r="K22" s="13" t="inlineStr">
        <is>
          <t>3.5</t>
        </is>
      </c>
      <c r="L22" s="13" t="inlineStr">
        <is>
          <t>сувдан цагаан</t>
        </is>
      </c>
      <c r="M22" s="13" t="inlineStr">
        <is>
          <t>Аваагүй (өөр хүнд)</t>
        </is>
      </c>
      <c r="N22" s="15" t="n">
        <v>285000</v>
      </c>
      <c r="O22" s="15" t="n">
        <v>365000</v>
      </c>
      <c r="P22" s="16" t="n"/>
      <c r="Q22" s="14">
        <f>$L$3-G22</f>
        <v/>
      </c>
      <c r="R22" s="15">
        <f>IF(J22="Хайбрид",INDEX('Онцгой татвар'!$C$6:$F$10,MATCH(I22,'Онцгой татвар'!$B$6:$B$10,1),MATCH(Q22,'Онцгой татвар'!$C$5:$F$5,1)),INDEX('Онцгой татвар'!$C$15:$F$19,MATCH(I22,'Онцгой татвар'!$B$15:$B$19,1),MATCH(Q22,'Онцгой татвар'!$C$14:$F$14,1)))</f>
        <v/>
      </c>
      <c r="S22" s="17">
        <f>IF(N22="","",((N22+IF(P22="",$D$3,P22))*$A$3+$F$3+R22)*(1+$H$3))</f>
        <v/>
      </c>
      <c r="T22" s="15">
        <f>IF(O22="","",((O22+IF(P22="",$D$3,P22))*$A$3+$F$3+R22)*(1+$H$3))</f>
        <v/>
      </c>
      <c r="U22" s="17" t="n">
        <v>26726000</v>
      </c>
      <c r="V22" s="15" t="n">
        <v>25627000</v>
      </c>
      <c r="W22" s="15" t="n">
        <v>27789000</v>
      </c>
      <c r="X22" s="15">
        <f>IF(OR(U22="",S22=""),"",U22-S22)</f>
        <v/>
      </c>
      <c r="Y22" s="18">
        <f>IF(X22="","",X22/S22)</f>
        <v/>
      </c>
      <c r="Z22" s="15">
        <f>IF(OR(U22="",T22=""),"",U22-T22)</f>
        <v/>
      </c>
      <c r="AA22" s="13" t="inlineStr">
        <is>
          <t>Найдвартай (40 зар)</t>
        </is>
      </c>
      <c r="AB22" s="13" t="inlineStr">
        <is>
          <t>гүйлт 163k -0.4%, S Tune Black +0.8%, өнгө +6.1%, оноо 3.5 -1.2%</t>
        </is>
      </c>
      <c r="AC22" s="13" t="inlineStr">
        <is>
          <t>2026-10-05</t>
        </is>
      </c>
      <c r="AD22" s="13" t="n"/>
      <c r="AE22" s="13" t="inlineStr">
        <is>
          <t>Honda Sendai|40063|2026/10/05</t>
        </is>
      </c>
    </row>
    <row r="23">
      <c r="A23" s="12" t="inlineStr">
        <is>
          <t>2026/10/05 11:47</t>
        </is>
      </c>
      <c r="B23" s="12" t="inlineStr">
        <is>
          <t>JU Tokyo</t>
        </is>
      </c>
      <c r="C23" s="12" t="inlineStr">
        <is>
          <t>7045</t>
        </is>
      </c>
      <c r="D23" s="13" t="inlineStr">
        <is>
          <t>Prius Alpha</t>
        </is>
      </c>
      <c r="E23" s="13" t="inlineStr">
        <is>
          <t>ZVW41W</t>
        </is>
      </c>
      <c r="F23" s="13" t="inlineStr">
        <is>
          <t>G TOURING SELECTION</t>
        </is>
      </c>
      <c r="G23" s="14" t="n">
        <v>2014</v>
      </c>
      <c r="H23" s="15" t="n">
        <v>119000</v>
      </c>
      <c r="I23" s="14" t="n">
        <v>1800</v>
      </c>
      <c r="J23" s="13" t="inlineStr">
        <is>
          <t>Хайбрид</t>
        </is>
      </c>
      <c r="K23" s="13" t="inlineStr">
        <is>
          <t>3.5</t>
        </is>
      </c>
      <c r="L23" s="13" t="inlineStr">
        <is>
          <t>хар</t>
        </is>
      </c>
      <c r="M23" s="13" t="inlineStr">
        <is>
          <t>Аваагүй (өөр хүнд)</t>
        </is>
      </c>
      <c r="N23" s="15" t="n">
        <v>280000</v>
      </c>
      <c r="O23" s="15" t="n">
        <v>450000</v>
      </c>
      <c r="P23" s="16" t="n"/>
      <c r="Q23" s="14">
        <f>$L$3-G23</f>
        <v/>
      </c>
      <c r="R23" s="15">
        <f>IF(J23="Хайбрид",INDEX('Онцгой татвар'!$C$6:$F$10,MATCH(I23,'Онцгой татвар'!$B$6:$B$10,1),MATCH(Q23,'Онцгой татвар'!$C$5:$F$5,1)),INDEX('Онцгой татвар'!$C$15:$F$19,MATCH(I23,'Онцгой татвар'!$B$15:$B$19,1),MATCH(Q23,'Онцгой татвар'!$C$14:$F$14,1)))</f>
        <v/>
      </c>
      <c r="S23" s="17">
        <f>IF(N23="","",((N23+IF(P23="",$D$3,P23))*$A$3+$F$3+R23)*(1+$H$3))</f>
        <v/>
      </c>
      <c r="T23" s="15">
        <f>IF(O23="","",((O23+IF(P23="",$D$3,P23))*$A$3+$F$3+R23)*(1+$H$3))</f>
        <v/>
      </c>
      <c r="U23" s="17" t="n">
        <v>28311000</v>
      </c>
      <c r="V23" s="15" t="n">
        <v>27147000</v>
      </c>
      <c r="W23" s="15" t="n">
        <v>29437000</v>
      </c>
      <c r="X23" s="15">
        <f>IF(OR(U23="",S23=""),"",U23-S23)</f>
        <v/>
      </c>
      <c r="Y23" s="18">
        <f>IF(X23="","",X23/S23)</f>
        <v/>
      </c>
      <c r="Z23" s="15">
        <f>IF(OR(U23="",T23=""),"",U23-T23)</f>
        <v/>
      </c>
      <c r="AA23" s="13" t="inlineStr">
        <is>
          <t>Дунд (17 зар)</t>
        </is>
      </c>
      <c r="AB23" s="13" t="inlineStr">
        <is>
          <t>гүйлт 119k +0.9%, G Touring +3.2%, оноо 3.5 -1.2%</t>
        </is>
      </c>
      <c r="AC23" s="13" t="inlineStr">
        <is>
          <t>2026-10-05</t>
        </is>
      </c>
      <c r="AD23" s="13" t="n"/>
      <c r="AE23" s="13" t="inlineStr">
        <is>
          <t>JU Tokyo|7045|2026/10/05</t>
        </is>
      </c>
    </row>
    <row r="24">
      <c r="A24" s="12" t="inlineStr">
        <is>
          <t>2026/10/05 11:34</t>
        </is>
      </c>
      <c r="B24" s="12" t="inlineStr">
        <is>
          <t>Honda Nagoya</t>
        </is>
      </c>
      <c r="C24" s="12" t="inlineStr">
        <is>
          <t>55070</t>
        </is>
      </c>
      <c r="D24" s="13" t="inlineStr">
        <is>
          <t>Prius Alpha</t>
        </is>
      </c>
      <c r="E24" s="13" t="inlineStr">
        <is>
          <t>ZVW41W</t>
        </is>
      </c>
      <c r="F24" s="13" t="inlineStr">
        <is>
          <t>S</t>
        </is>
      </c>
      <c r="G24" s="14" t="n">
        <v>2012</v>
      </c>
      <c r="H24" s="15" t="n">
        <v>100000</v>
      </c>
      <c r="I24" s="14" t="n">
        <v>1800</v>
      </c>
      <c r="J24" s="13" t="inlineStr">
        <is>
          <t>Хайбрид</t>
        </is>
      </c>
      <c r="K24" s="13" t="inlineStr">
        <is>
          <t>4</t>
        </is>
      </c>
      <c r="L24" s="13" t="inlineStr">
        <is>
          <t>сувдан цагаан</t>
        </is>
      </c>
      <c r="M24" s="13" t="inlineStr">
        <is>
          <t>Аваагүй (өөр хүнд)</t>
        </is>
      </c>
      <c r="N24" s="15" t="n">
        <v>301000</v>
      </c>
      <c r="O24" s="15" t="n">
        <v>443000</v>
      </c>
      <c r="P24" s="16" t="n"/>
      <c r="Q24" s="14">
        <f>$L$3-G24</f>
        <v/>
      </c>
      <c r="R24" s="15">
        <f>IF(J24="Хайбрид",INDEX('Онцгой татвар'!$C$6:$F$10,MATCH(I24,'Онцгой татвар'!$B$6:$B$10,1),MATCH(Q24,'Онцгой татвар'!$C$5:$F$5,1)),INDEX('Онцгой татвар'!$C$15:$F$19,MATCH(I24,'Онцгой татвар'!$B$15:$B$19,1),MATCH(Q24,'Онцгой татвар'!$C$14:$F$14,1)))</f>
        <v/>
      </c>
      <c r="S24" s="17">
        <f>IF(N24="","",((N24+IF(P24="",$D$3,P24))*$A$3+$F$3+R24)*(1+$H$3))</f>
        <v/>
      </c>
      <c r="T24" s="15">
        <f>IF(O24="","",((O24+IF(P24="",$D$3,P24))*$A$3+$F$3+R24)*(1+$H$3))</f>
        <v/>
      </c>
      <c r="U24" s="17" t="n">
        <v>26516000</v>
      </c>
      <c r="V24" s="15" t="n">
        <v>25425000</v>
      </c>
      <c r="W24" s="15" t="n">
        <v>27570000</v>
      </c>
      <c r="X24" s="15">
        <f>IF(OR(U24="",S24=""),"",U24-S24)</f>
        <v/>
      </c>
      <c r="Y24" s="18">
        <f>IF(X24="","",X24/S24)</f>
        <v/>
      </c>
      <c r="Z24" s="15">
        <f>IF(OR(U24="",T24=""),"",U24-T24)</f>
        <v/>
      </c>
      <c r="AA24" s="13" t="inlineStr">
        <is>
          <t>Найдвартай (47 зар)</t>
        </is>
      </c>
      <c r="AB24" s="13" t="inlineStr">
        <is>
          <t>гүйлт 100k +1.1%, өнгө +6.1%, оноо 4 +0.8%</t>
        </is>
      </c>
      <c r="AC24" s="13" t="inlineStr">
        <is>
          <t>2026-10-05</t>
        </is>
      </c>
      <c r="AD24" s="13" t="n"/>
      <c r="AE24" s="13" t="inlineStr">
        <is>
          <t>Honda Nagoya|55070|2026/10/05</t>
        </is>
      </c>
    </row>
    <row r="25">
      <c r="A25" s="12" t="inlineStr">
        <is>
          <t>2026/10/05 11:09</t>
        </is>
      </c>
      <c r="B25" s="12" t="inlineStr">
        <is>
          <t>Honda Tokyo</t>
        </is>
      </c>
      <c r="C25" s="12" t="inlineStr">
        <is>
          <t>20017</t>
        </is>
      </c>
      <c r="D25" s="13" t="inlineStr">
        <is>
          <t>Prius Alpha</t>
        </is>
      </c>
      <c r="E25" s="13" t="inlineStr">
        <is>
          <t>ZVW41W</t>
        </is>
      </c>
      <c r="F25" s="13" t="inlineStr">
        <is>
          <t>S TOURING SELECTION</t>
        </is>
      </c>
      <c r="G25" s="14" t="n">
        <v>2012</v>
      </c>
      <c r="H25" s="15" t="n">
        <v>177000</v>
      </c>
      <c r="I25" s="14" t="n">
        <v>1800</v>
      </c>
      <c r="J25" s="13" t="inlineStr">
        <is>
          <t>Хайбрид</t>
        </is>
      </c>
      <c r="K25" s="13" t="inlineStr">
        <is>
          <t>3.5</t>
        </is>
      </c>
      <c r="L25" s="13" t="inlineStr">
        <is>
          <t>цагаан</t>
        </is>
      </c>
      <c r="M25" s="13" t="inlineStr">
        <is>
          <t>Аваагүй (өөр хүнд)</t>
        </is>
      </c>
      <c r="N25" s="15" t="n">
        <v>290000</v>
      </c>
      <c r="O25" s="15" t="n">
        <v>410000</v>
      </c>
      <c r="P25" s="16" t="n"/>
      <c r="Q25" s="14">
        <f>$L$3-G25</f>
        <v/>
      </c>
      <c r="R25" s="15">
        <f>IF(J25="Хайбрид",INDEX('Онцгой татвар'!$C$6:$F$10,MATCH(I25,'Онцгой татвар'!$B$6:$B$10,1),MATCH(Q25,'Онцгой татвар'!$C$5:$F$5,1)),INDEX('Онцгой татвар'!$C$15:$F$19,MATCH(I25,'Онцгой татвар'!$B$15:$B$19,1),MATCH(Q25,'Онцгой татвар'!$C$14:$F$14,1)))</f>
        <v/>
      </c>
      <c r="S25" s="17">
        <f>IF(N25="","",((N25+IF(P25="",$D$3,P25))*$A$3+$F$3+R25)*(1+$H$3))</f>
        <v/>
      </c>
      <c r="T25" s="15">
        <f>IF(O25="","",((O25+IF(P25="",$D$3,P25))*$A$3+$F$3+R25)*(1+$H$3))</f>
        <v/>
      </c>
      <c r="U25" s="17" t="n">
        <v>25937000</v>
      </c>
      <c r="V25" s="15" t="n">
        <v>24870000</v>
      </c>
      <c r="W25" s="15" t="n">
        <v>26968000</v>
      </c>
      <c r="X25" s="15">
        <f>IF(OR(U25="",S25=""),"",U25-S25)</f>
        <v/>
      </c>
      <c r="Y25" s="18">
        <f>IF(X25="","",X25/S25)</f>
        <v/>
      </c>
      <c r="Z25" s="15">
        <f>IF(OR(U25="",T25=""),"",U25-T25)</f>
        <v/>
      </c>
      <c r="AA25" s="13" t="inlineStr">
        <is>
          <t>Найдвартай (47 зар)</t>
        </is>
      </c>
      <c r="AB25" s="13" t="inlineStr">
        <is>
          <t>гүйлт 177k -0.7%, S Touring +4.0%, өнгө +3.8%, оноо 3.5 -1.2%</t>
        </is>
      </c>
      <c r="AC25" s="13" t="inlineStr">
        <is>
          <t>2026-10-05</t>
        </is>
      </c>
      <c r="AD25" s="13" t="n"/>
      <c r="AE25" s="13" t="inlineStr">
        <is>
          <t>Honda Tokyo|20017|2026/10/05</t>
        </is>
      </c>
    </row>
    <row r="26">
      <c r="A26" s="12" t="inlineStr">
        <is>
          <t>2026/10/05 10:46</t>
        </is>
      </c>
      <c r="B26" s="12" t="inlineStr">
        <is>
          <t>Honda Kansai</t>
        </is>
      </c>
      <c r="C26" s="12" t="inlineStr">
        <is>
          <t>70032</t>
        </is>
      </c>
      <c r="D26" s="13" t="inlineStr">
        <is>
          <t>Prius Alpha</t>
        </is>
      </c>
      <c r="E26" s="13" t="inlineStr">
        <is>
          <t>ZVW41W</t>
        </is>
      </c>
      <c r="F26" s="13" t="inlineStr">
        <is>
          <t>G</t>
        </is>
      </c>
      <c r="G26" s="14" t="n">
        <v>2013</v>
      </c>
      <c r="H26" s="15" t="n">
        <v>107000</v>
      </c>
      <c r="I26" s="14" t="n">
        <v>1800</v>
      </c>
      <c r="J26" s="13" t="inlineStr">
        <is>
          <t>Хайбрид</t>
        </is>
      </c>
      <c r="K26" s="13" t="inlineStr">
        <is>
          <t>3</t>
        </is>
      </c>
      <c r="L26" s="13" t="inlineStr">
        <is>
          <t>мөнгөлөг</t>
        </is>
      </c>
      <c r="M26" s="13" t="inlineStr">
        <is>
          <t>Аваагүй (өөр хүнд)</t>
        </is>
      </c>
      <c r="N26" s="15" t="n">
        <v>280000</v>
      </c>
      <c r="O26" s="15" t="n">
        <v>331000</v>
      </c>
      <c r="P26" s="16" t="n"/>
      <c r="Q26" s="14">
        <f>$L$3-G26</f>
        <v/>
      </c>
      <c r="R26" s="15">
        <f>IF(J26="Хайбрид",INDEX('Онцгой татвар'!$C$6:$F$10,MATCH(I26,'Онцгой татвар'!$B$6:$B$10,1),MATCH(Q26,'Онцгой татвар'!$C$5:$F$5,1)),INDEX('Онцгой татвар'!$C$15:$F$19,MATCH(I26,'Онцгой татвар'!$B$15:$B$19,1),MATCH(Q26,'Онцгой татвар'!$C$14:$F$14,1)))</f>
        <v/>
      </c>
      <c r="S26" s="17">
        <f>IF(N26="","",((N26+IF(P26="",$D$3,P26))*$A$3+$F$3+R26)*(1+$H$3))</f>
        <v/>
      </c>
      <c r="T26" s="15">
        <f>IF(O26="","",((O26+IF(P26="",$D$3,P26))*$A$3+$F$3+R26)*(1+$H$3))</f>
        <v/>
      </c>
      <c r="U26" s="17" t="n">
        <v>26903000</v>
      </c>
      <c r="V26" s="15" t="n">
        <v>25796000</v>
      </c>
      <c r="W26" s="15" t="n">
        <v>27973000</v>
      </c>
      <c r="X26" s="15">
        <f>IF(OR(U26="",S26=""),"",U26-S26)</f>
        <v/>
      </c>
      <c r="Y26" s="18">
        <f>IF(X26="","",X26/S26)</f>
        <v/>
      </c>
      <c r="Z26" s="15">
        <f>IF(OR(U26="",T26=""),"",U26-T26)</f>
        <v/>
      </c>
      <c r="AA26" s="13" t="inlineStr">
        <is>
          <t>Найдвартай (40 зар)</t>
        </is>
      </c>
      <c r="AB26" s="13" t="inlineStr">
        <is>
          <t>гүйлт 107k +1.1%, G +1.1%, өнгө +7.1%, оноо 3 -3.3%</t>
        </is>
      </c>
      <c r="AC26" s="13" t="inlineStr">
        <is>
          <t>2026-10-05</t>
        </is>
      </c>
      <c r="AD26" s="13" t="n"/>
      <c r="AE26" s="13" t="inlineStr">
        <is>
          <t>Honda Kansai|70032|2026/10/05</t>
        </is>
      </c>
    </row>
    <row r="27">
      <c r="A27" s="12" t="inlineStr">
        <is>
          <t>2026/10/05 10:40</t>
        </is>
      </c>
      <c r="B27" s="12" t="inlineStr">
        <is>
          <t>Honda Kansai</t>
        </is>
      </c>
      <c r="C27" s="12" t="inlineStr">
        <is>
          <t>70012</t>
        </is>
      </c>
      <c r="D27" s="13" t="inlineStr">
        <is>
          <t>Prius Alpha</t>
        </is>
      </c>
      <c r="E27" s="13" t="inlineStr">
        <is>
          <t>ZVW41W</t>
        </is>
      </c>
      <c r="F27" s="13" t="inlineStr">
        <is>
          <t>S TOURING SELECTION</t>
        </is>
      </c>
      <c r="G27" s="14" t="n">
        <v>2012</v>
      </c>
      <c r="H27" s="15" t="n">
        <v>100000</v>
      </c>
      <c r="I27" s="14" t="n">
        <v>1800</v>
      </c>
      <c r="J27" s="13" t="inlineStr">
        <is>
          <t>Хайбрид</t>
        </is>
      </c>
      <c r="K27" s="13" t="inlineStr">
        <is>
          <t>R</t>
        </is>
      </c>
      <c r="L27" s="13" t="inlineStr">
        <is>
          <t>хар</t>
        </is>
      </c>
      <c r="M27" s="13" t="inlineStr">
        <is>
          <t>Car Problem</t>
        </is>
      </c>
      <c r="N27" s="15" t="n">
        <v>275000</v>
      </c>
      <c r="O27" s="15" t="n"/>
      <c r="P27" s="16" t="n"/>
      <c r="Q27" s="14">
        <f>$L$3-G27</f>
        <v/>
      </c>
      <c r="R27" s="15">
        <f>IF(J27="Хайбрид",INDEX('Онцгой татвар'!$C$6:$F$10,MATCH(I27,'Онцгой татвар'!$B$6:$B$10,1),MATCH(Q27,'Онцгой татвар'!$C$5:$F$5,1)),INDEX('Онцгой татвар'!$C$15:$F$19,MATCH(I27,'Онцгой татвар'!$B$15:$B$19,1),MATCH(Q27,'Онцгой татвар'!$C$14:$F$14,1)))</f>
        <v/>
      </c>
      <c r="S27" s="17">
        <f>IF(N27="","",((N27+IF(P27="",$D$3,P27))*$A$3+$F$3+R27)*(1+$H$3))</f>
        <v/>
      </c>
      <c r="T27" s="15">
        <f>IF(O27="","",((O27+IF(P27="",$D$3,P27))*$A$3+$F$3+R27)*(1+$H$3))</f>
        <v/>
      </c>
      <c r="U27" s="17" t="n">
        <v>25763000</v>
      </c>
      <c r="V27" s="15" t="n">
        <v>24704000</v>
      </c>
      <c r="W27" s="15" t="n">
        <v>26788000</v>
      </c>
      <c r="X27" s="15">
        <f>IF(OR(U27="",S27=""),"",U27-S27)</f>
        <v/>
      </c>
      <c r="Y27" s="18">
        <f>IF(X27="","",X27/S27)</f>
        <v/>
      </c>
      <c r="Z27" s="15">
        <f>IF(OR(U27="",T27=""),"",U27-T27)</f>
        <v/>
      </c>
      <c r="AA27" s="13" t="inlineStr">
        <is>
          <t>Найдвартай (47 зар)</t>
        </is>
      </c>
      <c r="AB27" s="13" t="inlineStr">
        <is>
          <t>гүйлт 100k +1.1%, S Touring +4.0%</t>
        </is>
      </c>
      <c r="AC27" s="13" t="inlineStr">
        <is>
          <t>2026-10-05</t>
        </is>
      </c>
      <c r="AD27" s="13" t="n"/>
      <c r="AE27" s="13" t="inlineStr">
        <is>
          <t>Honda Kansai|70012|2026/10/05</t>
        </is>
      </c>
    </row>
    <row r="28">
      <c r="A28" s="12" t="inlineStr">
        <is>
          <t>2026/10/05 09:32</t>
        </is>
      </c>
      <c r="B28" s="12" t="inlineStr">
        <is>
          <t>Honda Kyushu</t>
        </is>
      </c>
      <c r="C28" s="12" t="inlineStr">
        <is>
          <t>60009</t>
        </is>
      </c>
      <c r="D28" s="13" t="inlineStr">
        <is>
          <t>Prius Alpha</t>
        </is>
      </c>
      <c r="E28" s="13" t="inlineStr">
        <is>
          <t>ZVW41W</t>
        </is>
      </c>
      <c r="F28" s="13" t="inlineStr">
        <is>
          <t>S TUNE BLACK</t>
        </is>
      </c>
      <c r="G28" s="14" t="n">
        <v>2013</v>
      </c>
      <c r="H28" s="15" t="n">
        <v>152000</v>
      </c>
      <c r="I28" s="14" t="n">
        <v>1800</v>
      </c>
      <c r="J28" s="13" t="inlineStr">
        <is>
          <t>Хайбрид</t>
        </is>
      </c>
      <c r="K28" s="13" t="inlineStr">
        <is>
          <t>3.5</t>
        </is>
      </c>
      <c r="L28" s="13" t="inlineStr">
        <is>
          <t>сувдан цагаан</t>
        </is>
      </c>
      <c r="M28" s="13" t="inlineStr">
        <is>
          <t>Аваагүй (өөр хүнд)</t>
        </is>
      </c>
      <c r="N28" s="15" t="n">
        <v>285000</v>
      </c>
      <c r="O28" s="15" t="n">
        <v>442000</v>
      </c>
      <c r="P28" s="16" t="n"/>
      <c r="Q28" s="14">
        <f>$L$3-G28</f>
        <v/>
      </c>
      <c r="R28" s="15">
        <f>IF(J28="Хайбрид",INDEX('Онцгой татвар'!$C$6:$F$10,MATCH(I28,'Онцгой татвар'!$B$6:$B$10,1),MATCH(Q28,'Онцгой татвар'!$C$5:$F$5,1)),INDEX('Онцгой татвар'!$C$15:$F$19,MATCH(I28,'Онцгой татвар'!$B$15:$B$19,1),MATCH(Q28,'Онцгой татвар'!$C$14:$F$14,1)))</f>
        <v/>
      </c>
      <c r="S28" s="17">
        <f>IF(N28="","",((N28+IF(P28="",$D$3,P28))*$A$3+$F$3+R28)*(1+$H$3))</f>
        <v/>
      </c>
      <c r="T28" s="15">
        <f>IF(O28="","",((O28+IF(P28="",$D$3,P28))*$A$3+$F$3+R28)*(1+$H$3))</f>
        <v/>
      </c>
      <c r="U28" s="17" t="n">
        <v>26812000</v>
      </c>
      <c r="V28" s="15" t="n">
        <v>25709000</v>
      </c>
      <c r="W28" s="15" t="n">
        <v>27879000</v>
      </c>
      <c r="X28" s="15">
        <f>IF(OR(U28="",S28=""),"",U28-S28)</f>
        <v/>
      </c>
      <c r="Y28" s="18">
        <f>IF(X28="","",X28/S28)</f>
        <v/>
      </c>
      <c r="Z28" s="15">
        <f>IF(OR(U28="",T28=""),"",U28-T28)</f>
        <v/>
      </c>
      <c r="AA28" s="13" t="inlineStr">
        <is>
          <t>Найдвартай (40 зар)</t>
        </is>
      </c>
      <c r="AB28" s="13" t="inlineStr">
        <is>
          <t>гүйлт 152k -0.1%, S Tune Black +0.8%, өнгө +6.1%, оноо 3.5 -1.2%</t>
        </is>
      </c>
      <c r="AC28" s="13" t="inlineStr">
        <is>
          <t>2026-10-05</t>
        </is>
      </c>
      <c r="AD28" s="13" t="n"/>
      <c r="AE28" s="13" t="inlineStr">
        <is>
          <t>Honda Kyushu|60009|2026/10/05</t>
        </is>
      </c>
    </row>
  </sheetData>
  <autoFilter ref="A5:AE28"/>
  <conditionalFormatting sqref="X6:X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Y6:Y28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Z6:Z28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3" customWidth="1" min="4" max="4"/>
    <col width="20" customWidth="1" min="5" max="5"/>
    <col width="6" customWidth="1" min="6" max="6"/>
    <col width="10" customWidth="1" min="7" max="7"/>
    <col width="6" customWidth="1" min="8" max="8"/>
    <col width="13" customWidth="1" min="9" max="9"/>
    <col width="12" customWidth="1" min="10" max="10"/>
    <col width="13" customWidth="1" min="11" max="11"/>
    <col width="11" customWidth="1" min="12" max="12"/>
    <col width="9" customWidth="1" min="13" max="13"/>
    <col width="15" customWidth="1" min="14" max="14"/>
    <col width="15" customWidth="1" min="15" max="15"/>
    <col width="16" customWidth="1" min="16" max="16"/>
    <col width="15" customWidth="1" min="17" max="17"/>
    <col width="12" customWidth="1" min="18" max="18"/>
    <col width="14" customWidth="1" min="19" max="19"/>
    <col width="16" customWidth="1" min="20" max="20"/>
  </cols>
  <sheetData>
    <row r="1">
      <c r="A1" s="1" t="inlineStr">
        <is>
          <t>Авч чадаагүй машинууд: өөр хүнд зарагдсан үнээр авсан бол</t>
        </is>
      </c>
    </row>
    <row r="2">
      <c r="A2" s="9" t="inlineStr">
        <is>
          <t>Бүх тоо 'Бүх машин' sheet-ээс томьёогоор ирнэ (ханш, ачилтын шар нүдийг тэнд засна). Зөрүү = зарагдсан үнэ − миний үнэ. Ашиг = загварын үнэ − зарагдсан үнээр буух үнэ.</t>
        </is>
      </c>
    </row>
    <row r="4" ht="42" customHeight="1">
      <c r="A4" s="10" t="inlineStr">
        <is>
          <t>Хаагдах цаг</t>
        </is>
      </c>
      <c r="B4" s="10" t="inlineStr">
        <is>
          <t>Аукцион</t>
        </is>
      </c>
      <c r="C4" s="10" t="inlineStr">
        <is>
          <t>Лот</t>
        </is>
      </c>
      <c r="D4" s="11" t="inlineStr">
        <is>
          <t>Загвар</t>
        </is>
      </c>
      <c r="E4" s="10" t="inlineStr">
        <is>
          <t>Комплектац</t>
        </is>
      </c>
      <c r="F4" s="10" t="inlineStr">
        <is>
          <t>Он</t>
        </is>
      </c>
      <c r="G4" s="10" t="inlineStr">
        <is>
          <t>Гүйлт, км</t>
        </is>
      </c>
      <c r="H4" s="10" t="inlineStr">
        <is>
          <t>Оноо</t>
        </is>
      </c>
      <c r="I4" s="10" t="inlineStr">
        <is>
          <t>Өнгө</t>
        </is>
      </c>
      <c r="J4" s="10" t="inlineStr">
        <is>
          <t>Миний үнэ, ¥</t>
        </is>
      </c>
      <c r="K4" s="10" t="inlineStr">
        <is>
          <t>Зарагдсан үнэ, ¥</t>
        </is>
      </c>
      <c r="L4" s="10" t="inlineStr">
        <is>
          <t>Зөрүү, ¥</t>
        </is>
      </c>
      <c r="M4" s="10" t="inlineStr">
        <is>
          <t>Зөрүү, %</t>
        </is>
      </c>
      <c r="N4" s="10" t="inlineStr">
        <is>
          <t>Буух үнэ (миний үнээр), ₮</t>
        </is>
      </c>
      <c r="O4" s="10" t="inlineStr">
        <is>
          <t>Буух үнэ (зарагдсан үнээр), ₮</t>
        </is>
      </c>
      <c r="P4" s="11" t="inlineStr">
        <is>
          <t>Монголд зарагдах үнэ (загвар), ₮</t>
        </is>
      </c>
      <c r="Q4" s="10" t="inlineStr">
        <is>
          <t>Ашиг (зарагдсан үнээр), ₮</t>
        </is>
      </c>
      <c r="R4" s="10" t="inlineStr">
        <is>
          <t>Ашгийн хувь (зарагдсан үнээр)</t>
        </is>
      </c>
      <c r="S4" s="10" t="inlineStr">
        <is>
          <t>Ашиг (миний үнээр), ₮</t>
        </is>
      </c>
      <c r="T4" s="11" t="inlineStr">
        <is>
          <t>Загварын итгэл</t>
        </is>
      </c>
    </row>
    <row r="5">
      <c r="A5" s="15">
        <f>IF('Бүх машин'!A19="","",'Бүх машин'!A19)</f>
        <v/>
      </c>
      <c r="B5" s="15">
        <f>IF('Бүх машин'!B19="","",'Бүх машин'!B19)</f>
        <v/>
      </c>
      <c r="C5" s="15">
        <f>IF('Бүх машин'!C19="","",'Бүх машин'!C19)</f>
        <v/>
      </c>
      <c r="D5" s="15">
        <f>IF('Бүх машин'!D19="","",'Бүх машин'!D19)</f>
        <v/>
      </c>
      <c r="E5" s="15">
        <f>IF('Бүх машин'!F19="","",'Бүх машин'!F19)</f>
        <v/>
      </c>
      <c r="F5" s="14">
        <f>IF('Бүх машин'!G19="","",'Бүх машин'!G19)</f>
        <v/>
      </c>
      <c r="G5" s="15">
        <f>IF('Бүх машин'!H19="","",'Бүх машин'!H19)</f>
        <v/>
      </c>
      <c r="H5" s="15">
        <f>IF('Бүх машин'!K19="","",'Бүх машин'!K19)</f>
        <v/>
      </c>
      <c r="I5" s="15">
        <f>IF('Бүх машин'!L19="","",'Бүх машин'!L19)</f>
        <v/>
      </c>
      <c r="J5" s="15">
        <f>IF('Бүх машин'!N19="","",'Бүх машин'!N19)</f>
        <v/>
      </c>
      <c r="K5" s="15">
        <f>IF('Бүх машин'!O19="","",'Бүх машин'!O19)</f>
        <v/>
      </c>
      <c r="L5" s="15">
        <f>K5-J5</f>
        <v/>
      </c>
      <c r="M5" s="18">
        <f>L5/J5</f>
        <v/>
      </c>
      <c r="N5" s="15">
        <f>IF('Бүх машин'!S19="","",'Бүх машин'!S19)</f>
        <v/>
      </c>
      <c r="O5" s="15">
        <f>IF('Бүх машин'!T19="","",'Бүх машин'!T19)</f>
        <v/>
      </c>
      <c r="P5" s="15">
        <f>IF('Бүх машин'!U19="","",'Бүх машин'!U19)</f>
        <v/>
      </c>
      <c r="Q5" s="17">
        <f>IF('Бүх машин'!Z19="","",'Бүх машин'!Z19)</f>
        <v/>
      </c>
      <c r="R5" s="18">
        <f>IF(Q5="","",Q5/O5)</f>
        <v/>
      </c>
      <c r="S5" s="15">
        <f>IF('Бүх машин'!X19="","",'Бүх машин'!X19)</f>
        <v/>
      </c>
      <c r="T5" s="15">
        <f>IF('Бүх машин'!AA19="","",'Бүх машин'!AA19)</f>
        <v/>
      </c>
    </row>
    <row r="6">
      <c r="A6" s="15">
        <f>IF('Бүх машин'!A21="","",'Бүх машин'!A21)</f>
        <v/>
      </c>
      <c r="B6" s="15">
        <f>IF('Бүх машин'!B21="","",'Бүх машин'!B21)</f>
        <v/>
      </c>
      <c r="C6" s="15">
        <f>IF('Бүх машин'!C21="","",'Бүх машин'!C21)</f>
        <v/>
      </c>
      <c r="D6" s="15">
        <f>IF('Бүх машин'!D21="","",'Бүх машин'!D21)</f>
        <v/>
      </c>
      <c r="E6" s="15">
        <f>IF('Бүх машин'!F21="","",'Бүх машин'!F21)</f>
        <v/>
      </c>
      <c r="F6" s="14">
        <f>IF('Бүх машин'!G21="","",'Бүх машин'!G21)</f>
        <v/>
      </c>
      <c r="G6" s="15">
        <f>IF('Бүх машин'!H21="","",'Бүх машин'!H21)</f>
        <v/>
      </c>
      <c r="H6" s="15">
        <f>IF('Бүх машин'!K21="","",'Бүх машин'!K21)</f>
        <v/>
      </c>
      <c r="I6" s="15">
        <f>IF('Бүх машин'!L21="","",'Бүх машин'!L21)</f>
        <v/>
      </c>
      <c r="J6" s="15">
        <f>IF('Бүх машин'!N21="","",'Бүх машин'!N21)</f>
        <v/>
      </c>
      <c r="K6" s="15">
        <f>IF('Бүх машин'!O21="","",'Бүх машин'!O21)</f>
        <v/>
      </c>
      <c r="L6" s="15">
        <f>K6-J6</f>
        <v/>
      </c>
      <c r="M6" s="18">
        <f>L6/J6</f>
        <v/>
      </c>
      <c r="N6" s="15">
        <f>IF('Бүх машин'!S21="","",'Бүх машин'!S21)</f>
        <v/>
      </c>
      <c r="O6" s="15">
        <f>IF('Бүх машин'!T21="","",'Бүх машин'!T21)</f>
        <v/>
      </c>
      <c r="P6" s="15">
        <f>IF('Бүх машин'!U21="","",'Бүх машин'!U21)</f>
        <v/>
      </c>
      <c r="Q6" s="17">
        <f>IF('Бүх машин'!Z21="","",'Бүх машин'!Z21)</f>
        <v/>
      </c>
      <c r="R6" s="18">
        <f>IF(Q6="","",Q6/O6)</f>
        <v/>
      </c>
      <c r="S6" s="15">
        <f>IF('Бүх машин'!X21="","",'Бүх машин'!X21)</f>
        <v/>
      </c>
      <c r="T6" s="15">
        <f>IF('Бүх машин'!AA21="","",'Бүх машин'!AA21)</f>
        <v/>
      </c>
    </row>
    <row r="7">
      <c r="A7" s="15">
        <f>IF('Бүх машин'!A22="","",'Бүх машин'!A22)</f>
        <v/>
      </c>
      <c r="B7" s="15">
        <f>IF('Бүх машин'!B22="","",'Бүх машин'!B22)</f>
        <v/>
      </c>
      <c r="C7" s="15">
        <f>IF('Бүх машин'!C22="","",'Бүх машин'!C22)</f>
        <v/>
      </c>
      <c r="D7" s="15">
        <f>IF('Бүх машин'!D22="","",'Бүх машин'!D22)</f>
        <v/>
      </c>
      <c r="E7" s="15">
        <f>IF('Бүх машин'!F22="","",'Бүх машин'!F22)</f>
        <v/>
      </c>
      <c r="F7" s="14">
        <f>IF('Бүх машин'!G22="","",'Бүх машин'!G22)</f>
        <v/>
      </c>
      <c r="G7" s="15">
        <f>IF('Бүх машин'!H22="","",'Бүх машин'!H22)</f>
        <v/>
      </c>
      <c r="H7" s="15">
        <f>IF('Бүх машин'!K22="","",'Бүх машин'!K22)</f>
        <v/>
      </c>
      <c r="I7" s="15">
        <f>IF('Бүх машин'!L22="","",'Бүх машин'!L22)</f>
        <v/>
      </c>
      <c r="J7" s="15">
        <f>IF('Бүх машин'!N22="","",'Бүх машин'!N22)</f>
        <v/>
      </c>
      <c r="K7" s="15">
        <f>IF('Бүх машин'!O22="","",'Бүх машин'!O22)</f>
        <v/>
      </c>
      <c r="L7" s="15">
        <f>K7-J7</f>
        <v/>
      </c>
      <c r="M7" s="18">
        <f>L7/J7</f>
        <v/>
      </c>
      <c r="N7" s="15">
        <f>IF('Бүх машин'!S22="","",'Бүх машин'!S22)</f>
        <v/>
      </c>
      <c r="O7" s="15">
        <f>IF('Бүх машин'!T22="","",'Бүх машин'!T22)</f>
        <v/>
      </c>
      <c r="P7" s="15">
        <f>IF('Бүх машин'!U22="","",'Бүх машин'!U22)</f>
        <v/>
      </c>
      <c r="Q7" s="17">
        <f>IF('Бүх машин'!Z22="","",'Бүх машин'!Z22)</f>
        <v/>
      </c>
      <c r="R7" s="18">
        <f>IF(Q7="","",Q7/O7)</f>
        <v/>
      </c>
      <c r="S7" s="15">
        <f>IF('Бүх машин'!X22="","",'Бүх машин'!X22)</f>
        <v/>
      </c>
      <c r="T7" s="15">
        <f>IF('Бүх машин'!AA22="","",'Бүх машин'!AA22)</f>
        <v/>
      </c>
    </row>
    <row r="8">
      <c r="A8" s="15">
        <f>IF('Бүх машин'!A23="","",'Бүх машин'!A23)</f>
        <v/>
      </c>
      <c r="B8" s="15">
        <f>IF('Бүх машин'!B23="","",'Бүх машин'!B23)</f>
        <v/>
      </c>
      <c r="C8" s="15">
        <f>IF('Бүх машин'!C23="","",'Бүх машин'!C23)</f>
        <v/>
      </c>
      <c r="D8" s="15">
        <f>IF('Бүх машин'!D23="","",'Бүх машин'!D23)</f>
        <v/>
      </c>
      <c r="E8" s="15">
        <f>IF('Бүх машин'!F23="","",'Бүх машин'!F23)</f>
        <v/>
      </c>
      <c r="F8" s="14">
        <f>IF('Бүх машин'!G23="","",'Бүх машин'!G23)</f>
        <v/>
      </c>
      <c r="G8" s="15">
        <f>IF('Бүх машин'!H23="","",'Бүх машин'!H23)</f>
        <v/>
      </c>
      <c r="H8" s="15">
        <f>IF('Бүх машин'!K23="","",'Бүх машин'!K23)</f>
        <v/>
      </c>
      <c r="I8" s="15">
        <f>IF('Бүх машин'!L23="","",'Бүх машин'!L23)</f>
        <v/>
      </c>
      <c r="J8" s="15">
        <f>IF('Бүх машин'!N23="","",'Бүх машин'!N23)</f>
        <v/>
      </c>
      <c r="K8" s="15">
        <f>IF('Бүх машин'!O23="","",'Бүх машин'!O23)</f>
        <v/>
      </c>
      <c r="L8" s="15">
        <f>K8-J8</f>
        <v/>
      </c>
      <c r="M8" s="18">
        <f>L8/J8</f>
        <v/>
      </c>
      <c r="N8" s="15">
        <f>IF('Бүх машин'!S23="","",'Бүх машин'!S23)</f>
        <v/>
      </c>
      <c r="O8" s="15">
        <f>IF('Бүх машин'!T23="","",'Бүх машин'!T23)</f>
        <v/>
      </c>
      <c r="P8" s="15">
        <f>IF('Бүх машин'!U23="","",'Бүх машин'!U23)</f>
        <v/>
      </c>
      <c r="Q8" s="17">
        <f>IF('Бүх машин'!Z23="","",'Бүх машин'!Z23)</f>
        <v/>
      </c>
      <c r="R8" s="18">
        <f>IF(Q8="","",Q8/O8)</f>
        <v/>
      </c>
      <c r="S8" s="15">
        <f>IF('Бүх машин'!X23="","",'Бүх машин'!X23)</f>
        <v/>
      </c>
      <c r="T8" s="15">
        <f>IF('Бүх машин'!AA23="","",'Бүх машин'!AA23)</f>
        <v/>
      </c>
    </row>
    <row r="9">
      <c r="A9" s="15">
        <f>IF('Бүх машин'!A24="","",'Бүх машин'!A24)</f>
        <v/>
      </c>
      <c r="B9" s="15">
        <f>IF('Бүх машин'!B24="","",'Бүх машин'!B24)</f>
        <v/>
      </c>
      <c r="C9" s="15">
        <f>IF('Бүх машин'!C24="","",'Бүх машин'!C24)</f>
        <v/>
      </c>
      <c r="D9" s="15">
        <f>IF('Бүх машин'!D24="","",'Бүх машин'!D24)</f>
        <v/>
      </c>
      <c r="E9" s="15">
        <f>IF('Бүх машин'!F24="","",'Бүх машин'!F24)</f>
        <v/>
      </c>
      <c r="F9" s="14">
        <f>IF('Бүх машин'!G24="","",'Бүх машин'!G24)</f>
        <v/>
      </c>
      <c r="G9" s="15">
        <f>IF('Бүх машин'!H24="","",'Бүх машин'!H24)</f>
        <v/>
      </c>
      <c r="H9" s="15">
        <f>IF('Бүх машин'!K24="","",'Бүх машин'!K24)</f>
        <v/>
      </c>
      <c r="I9" s="15">
        <f>IF('Бүх машин'!L24="","",'Бүх машин'!L24)</f>
        <v/>
      </c>
      <c r="J9" s="15">
        <f>IF('Бүх машин'!N24="","",'Бүх машин'!N24)</f>
        <v/>
      </c>
      <c r="K9" s="15">
        <f>IF('Бүх машин'!O24="","",'Бүх машин'!O24)</f>
        <v/>
      </c>
      <c r="L9" s="15">
        <f>K9-J9</f>
        <v/>
      </c>
      <c r="M9" s="18">
        <f>L9/J9</f>
        <v/>
      </c>
      <c r="N9" s="15">
        <f>IF('Бүх машин'!S24="","",'Бүх машин'!S24)</f>
        <v/>
      </c>
      <c r="O9" s="15">
        <f>IF('Бүх машин'!T24="","",'Бүх машин'!T24)</f>
        <v/>
      </c>
      <c r="P9" s="15">
        <f>IF('Бүх машин'!U24="","",'Бүх машин'!U24)</f>
        <v/>
      </c>
      <c r="Q9" s="17">
        <f>IF('Бүх машин'!Z24="","",'Бүх машин'!Z24)</f>
        <v/>
      </c>
      <c r="R9" s="18">
        <f>IF(Q9="","",Q9/O9)</f>
        <v/>
      </c>
      <c r="S9" s="15">
        <f>IF('Бүх машин'!X24="","",'Бүх машин'!X24)</f>
        <v/>
      </c>
      <c r="T9" s="15">
        <f>IF('Бүх машин'!AA24="","",'Бүх машин'!AA24)</f>
        <v/>
      </c>
    </row>
    <row r="10">
      <c r="A10" s="15">
        <f>IF('Бүх машин'!A25="","",'Бүх машин'!A25)</f>
        <v/>
      </c>
      <c r="B10" s="15">
        <f>IF('Бүх машин'!B25="","",'Бүх машин'!B25)</f>
        <v/>
      </c>
      <c r="C10" s="15">
        <f>IF('Бүх машин'!C25="","",'Бүх машин'!C25)</f>
        <v/>
      </c>
      <c r="D10" s="15">
        <f>IF('Бүх машин'!D25="","",'Бүх машин'!D25)</f>
        <v/>
      </c>
      <c r="E10" s="15">
        <f>IF('Бүх машин'!F25="","",'Бүх машин'!F25)</f>
        <v/>
      </c>
      <c r="F10" s="14">
        <f>IF('Бүх машин'!G25="","",'Бүх машин'!G25)</f>
        <v/>
      </c>
      <c r="G10" s="15">
        <f>IF('Бүх машин'!H25="","",'Бүх машин'!H25)</f>
        <v/>
      </c>
      <c r="H10" s="15">
        <f>IF('Бүх машин'!K25="","",'Бүх машин'!K25)</f>
        <v/>
      </c>
      <c r="I10" s="15">
        <f>IF('Бүх машин'!L25="","",'Бүх машин'!L25)</f>
        <v/>
      </c>
      <c r="J10" s="15">
        <f>IF('Бүх машин'!N25="","",'Бүх машин'!N25)</f>
        <v/>
      </c>
      <c r="K10" s="15">
        <f>IF('Бүх машин'!O25="","",'Бүх машин'!O25)</f>
        <v/>
      </c>
      <c r="L10" s="15">
        <f>K10-J10</f>
        <v/>
      </c>
      <c r="M10" s="18">
        <f>L10/J10</f>
        <v/>
      </c>
      <c r="N10" s="15">
        <f>IF('Бүх машин'!S25="","",'Бүх машин'!S25)</f>
        <v/>
      </c>
      <c r="O10" s="15">
        <f>IF('Бүх машин'!T25="","",'Бүх машин'!T25)</f>
        <v/>
      </c>
      <c r="P10" s="15">
        <f>IF('Бүх машин'!U25="","",'Бүх машин'!U25)</f>
        <v/>
      </c>
      <c r="Q10" s="17">
        <f>IF('Бүх машин'!Z25="","",'Бүх машин'!Z25)</f>
        <v/>
      </c>
      <c r="R10" s="18">
        <f>IF(Q10="","",Q10/O10)</f>
        <v/>
      </c>
      <c r="S10" s="15">
        <f>IF('Бүх машин'!X25="","",'Бүх машин'!X25)</f>
        <v/>
      </c>
      <c r="T10" s="15">
        <f>IF('Бүх машин'!AA25="","",'Бүх машин'!AA25)</f>
        <v/>
      </c>
    </row>
    <row r="11">
      <c r="A11" s="15">
        <f>IF('Бүх машин'!A26="","",'Бүх машин'!A26)</f>
        <v/>
      </c>
      <c r="B11" s="15">
        <f>IF('Бүх машин'!B26="","",'Бүх машин'!B26)</f>
        <v/>
      </c>
      <c r="C11" s="15">
        <f>IF('Бүх машин'!C26="","",'Бүх машин'!C26)</f>
        <v/>
      </c>
      <c r="D11" s="15">
        <f>IF('Бүх машин'!D26="","",'Бүх машин'!D26)</f>
        <v/>
      </c>
      <c r="E11" s="15">
        <f>IF('Бүх машин'!F26="","",'Бүх машин'!F26)</f>
        <v/>
      </c>
      <c r="F11" s="14">
        <f>IF('Бүх машин'!G26="","",'Бүх машин'!G26)</f>
        <v/>
      </c>
      <c r="G11" s="15">
        <f>IF('Бүх машин'!H26="","",'Бүх машин'!H26)</f>
        <v/>
      </c>
      <c r="H11" s="15">
        <f>IF('Бүх машин'!K26="","",'Бүх машин'!K26)</f>
        <v/>
      </c>
      <c r="I11" s="15">
        <f>IF('Бүх машин'!L26="","",'Бүх машин'!L26)</f>
        <v/>
      </c>
      <c r="J11" s="15">
        <f>IF('Бүх машин'!N26="","",'Бүх машин'!N26)</f>
        <v/>
      </c>
      <c r="K11" s="15">
        <f>IF('Бүх машин'!O26="","",'Бүх машин'!O26)</f>
        <v/>
      </c>
      <c r="L11" s="15">
        <f>K11-J11</f>
        <v/>
      </c>
      <c r="M11" s="18">
        <f>L11/J11</f>
        <v/>
      </c>
      <c r="N11" s="15">
        <f>IF('Бүх машин'!S26="","",'Бүх машин'!S26)</f>
        <v/>
      </c>
      <c r="O11" s="15">
        <f>IF('Бүх машин'!T26="","",'Бүх машин'!T26)</f>
        <v/>
      </c>
      <c r="P11" s="15">
        <f>IF('Бүх машин'!U26="","",'Бүх машин'!U26)</f>
        <v/>
      </c>
      <c r="Q11" s="17">
        <f>IF('Бүх машин'!Z26="","",'Бүх машин'!Z26)</f>
        <v/>
      </c>
      <c r="R11" s="18">
        <f>IF(Q11="","",Q11/O11)</f>
        <v/>
      </c>
      <c r="S11" s="15">
        <f>IF('Бүх машин'!X26="","",'Бүх машин'!X26)</f>
        <v/>
      </c>
      <c r="T11" s="15">
        <f>IF('Бүх машин'!AA26="","",'Бүх машин'!AA26)</f>
        <v/>
      </c>
    </row>
    <row r="12">
      <c r="A12" s="15">
        <f>IF('Бүх машин'!A28="","",'Бүх машин'!A28)</f>
        <v/>
      </c>
      <c r="B12" s="15">
        <f>IF('Бүх машин'!B28="","",'Бүх машин'!B28)</f>
        <v/>
      </c>
      <c r="C12" s="15">
        <f>IF('Бүх машин'!C28="","",'Бүх машин'!C28)</f>
        <v/>
      </c>
      <c r="D12" s="15">
        <f>IF('Бүх машин'!D28="","",'Бүх машин'!D28)</f>
        <v/>
      </c>
      <c r="E12" s="15">
        <f>IF('Бүх машин'!F28="","",'Бүх машин'!F28)</f>
        <v/>
      </c>
      <c r="F12" s="14">
        <f>IF('Бүх машин'!G28="","",'Бүх машин'!G28)</f>
        <v/>
      </c>
      <c r="G12" s="15">
        <f>IF('Бүх машин'!H28="","",'Бүх машин'!H28)</f>
        <v/>
      </c>
      <c r="H12" s="15">
        <f>IF('Бүх машин'!K28="","",'Бүх машин'!K28)</f>
        <v/>
      </c>
      <c r="I12" s="15">
        <f>IF('Бүх машин'!L28="","",'Бүх машин'!L28)</f>
        <v/>
      </c>
      <c r="J12" s="15">
        <f>IF('Бүх машин'!N28="","",'Бүх машин'!N28)</f>
        <v/>
      </c>
      <c r="K12" s="15">
        <f>IF('Бүх машин'!O28="","",'Бүх машин'!O28)</f>
        <v/>
      </c>
      <c r="L12" s="15">
        <f>K12-J12</f>
        <v/>
      </c>
      <c r="M12" s="18">
        <f>L12/J12</f>
        <v/>
      </c>
      <c r="N12" s="15">
        <f>IF('Бүх машин'!S28="","",'Бүх машин'!S28)</f>
        <v/>
      </c>
      <c r="O12" s="15">
        <f>IF('Бүх машин'!T28="","",'Бүх машин'!T28)</f>
        <v/>
      </c>
      <c r="P12" s="15">
        <f>IF('Бүх машин'!U28="","",'Бүх машин'!U28)</f>
        <v/>
      </c>
      <c r="Q12" s="17">
        <f>IF('Бүх машин'!Z28="","",'Бүх машин'!Z28)</f>
        <v/>
      </c>
      <c r="R12" s="18">
        <f>IF(Q12="","",Q12/O12)</f>
        <v/>
      </c>
      <c r="S12" s="15">
        <f>IF('Бүх машин'!X28="","",'Бүх машин'!X28)</f>
        <v/>
      </c>
      <c r="T12" s="15">
        <f>IF('Бүх машин'!AA28="","",'Бүх машин'!AA28)</f>
        <v/>
      </c>
    </row>
    <row r="14">
      <c r="A14" s="19" t="inlineStr">
        <is>
          <t>Дундаж (8 машин)</t>
        </is>
      </c>
      <c r="J14" s="17">
        <f>IFERROR(AVERAGE(J5:J12),"")</f>
        <v/>
      </c>
      <c r="K14" s="17">
        <f>IFERROR(AVERAGE(K5:K12),"")</f>
        <v/>
      </c>
      <c r="L14" s="17">
        <f>IFERROR(AVERAGE(L5:L12),"")</f>
        <v/>
      </c>
      <c r="M14" s="20">
        <f>IFERROR(AVERAGE(M5:M12),"")</f>
        <v/>
      </c>
      <c r="O14" s="17">
        <f>IFERROR(AVERAGE(O5:O12),"")</f>
        <v/>
      </c>
      <c r="P14" s="17">
        <f>IFERROR(AVERAGE(P5:P12),"")</f>
        <v/>
      </c>
      <c r="Q14" s="17">
        <f>IFERROR(AVERAGE(Q5:Q12),"")</f>
        <v/>
      </c>
      <c r="R14" s="20">
        <f>IFERROR(AVERAGE(R5:R12),"")</f>
        <v/>
      </c>
    </row>
    <row r="15">
      <c r="A15" s="21" t="inlineStr">
        <is>
          <t>Өөр хүмүүс таны үнээс дунджаар 'Зөрүү, %'-иар илүү үнэ тавьж авсан. 'Ашгийн хувь (зарагдсан үнээр)' нь тэр үнээр авсан ч хэдэн хувийн ашиг үлдэхийг харуулна.</t>
        </is>
      </c>
    </row>
  </sheetData>
  <autoFilter ref="A4:T12"/>
  <conditionalFormatting sqref="Q5:Q1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R5:R1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S5:S14">
    <cfRule type="cellIs" priority="5" operator="greaterThan" dxfId="0">
      <formula>0</formula>
    </cfRule>
    <cfRule type="cellIs" priority="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2" t="inlineStr">
        <is>
          <t>Суудлын автомашины импортын онцгой татвар, ₮ (засаж болно)</t>
        </is>
      </c>
    </row>
    <row r="3">
      <c r="A3" s="19" t="inlineStr">
        <is>
          <t>1. Хайбрид ба газ</t>
        </is>
      </c>
    </row>
    <row r="4">
      <c r="A4" s="13" t="inlineStr">
        <is>
          <t>Хөдөлгүүр (cc)</t>
        </is>
      </c>
      <c r="B4" s="13" t="inlineStr">
        <is>
          <t>Доод хязгаар</t>
        </is>
      </c>
      <c r="C4" s="13" t="inlineStr">
        <is>
          <t>0-3 жил</t>
        </is>
      </c>
      <c r="D4" s="13" t="inlineStr">
        <is>
          <t>4-6 жил</t>
        </is>
      </c>
      <c r="E4" s="13" t="inlineStr">
        <is>
          <t>7-9 жил</t>
        </is>
      </c>
      <c r="F4" s="13" t="inlineStr">
        <is>
          <t>10-с дээш</t>
        </is>
      </c>
    </row>
    <row r="5">
      <c r="A5" s="13" t="n"/>
      <c r="B5" s="13" t="inlineStr">
        <is>
          <t>нас ≥</t>
        </is>
      </c>
      <c r="C5" s="13" t="n">
        <v>0</v>
      </c>
      <c r="D5" s="13" t="n">
        <v>4</v>
      </c>
      <c r="E5" s="13" t="n">
        <v>7</v>
      </c>
      <c r="F5" s="13" t="n">
        <v>10</v>
      </c>
    </row>
    <row r="6">
      <c r="A6" s="13" t="inlineStr">
        <is>
          <t>1-1500</t>
        </is>
      </c>
      <c r="B6" s="13" t="n">
        <v>1</v>
      </c>
      <c r="C6" s="23" t="n">
        <v>375000</v>
      </c>
      <c r="D6" s="23" t="n">
        <v>800000</v>
      </c>
      <c r="E6" s="23" t="n">
        <v>1675000</v>
      </c>
      <c r="F6" s="23" t="n">
        <v>5000000</v>
      </c>
    </row>
    <row r="7">
      <c r="A7" s="13" t="inlineStr">
        <is>
          <t>1501-2500</t>
        </is>
      </c>
      <c r="B7" s="13" t="n">
        <v>1501</v>
      </c>
      <c r="C7" s="23" t="n">
        <v>1150000</v>
      </c>
      <c r="D7" s="23" t="n">
        <v>1600000</v>
      </c>
      <c r="E7" s="23" t="n">
        <v>2500000</v>
      </c>
      <c r="F7" s="23" t="n">
        <v>5850000</v>
      </c>
    </row>
    <row r="8">
      <c r="A8" s="13" t="inlineStr">
        <is>
          <t>2501-3500</t>
        </is>
      </c>
      <c r="B8" s="13" t="n">
        <v>2501</v>
      </c>
      <c r="C8" s="23" t="n">
        <v>1525000</v>
      </c>
      <c r="D8" s="23" t="n">
        <v>2000000</v>
      </c>
      <c r="E8" s="23" t="n">
        <v>3350000</v>
      </c>
      <c r="F8" s="23" t="n">
        <v>6675000</v>
      </c>
    </row>
    <row r="9">
      <c r="A9" s="13" t="inlineStr">
        <is>
          <t>3501-4500</t>
        </is>
      </c>
      <c r="B9" s="13" t="n">
        <v>3501</v>
      </c>
      <c r="C9" s="23" t="n">
        <v>3425375</v>
      </c>
      <c r="D9" s="23" t="n">
        <v>4000000</v>
      </c>
      <c r="E9" s="23" t="n">
        <v>5425000</v>
      </c>
      <c r="F9" s="23" t="n">
        <v>8750000</v>
      </c>
    </row>
    <row r="10">
      <c r="A10" s="13" t="inlineStr">
        <is>
          <t>4501-с дээш</t>
        </is>
      </c>
      <c r="B10" s="13" t="n">
        <v>4501</v>
      </c>
      <c r="C10" s="23" t="n">
        <v>7105000</v>
      </c>
      <c r="D10" s="23" t="n">
        <v>13600000</v>
      </c>
      <c r="E10" s="23" t="n">
        <v>19575000</v>
      </c>
      <c r="F10" s="23" t="n">
        <v>32987500</v>
      </c>
    </row>
    <row r="12">
      <c r="A12" s="19" t="inlineStr">
        <is>
          <t>2. Энгийн бензин, дизель</t>
        </is>
      </c>
    </row>
    <row r="13">
      <c r="A13" s="13" t="inlineStr">
        <is>
          <t>Хөдөлгүүр (cc)</t>
        </is>
      </c>
      <c r="B13" s="13" t="inlineStr">
        <is>
          <t>Доод хязгаар</t>
        </is>
      </c>
      <c r="C13" s="13" t="inlineStr">
        <is>
          <t>0-3 жил</t>
        </is>
      </c>
      <c r="D13" s="13" t="inlineStr">
        <is>
          <t>4-6 жил</t>
        </is>
      </c>
      <c r="E13" s="13" t="inlineStr">
        <is>
          <t>7-9 жил</t>
        </is>
      </c>
      <c r="F13" s="13" t="inlineStr">
        <is>
          <t>10-с дээш</t>
        </is>
      </c>
    </row>
    <row r="14">
      <c r="A14" s="13" t="n"/>
      <c r="B14" s="13" t="inlineStr">
        <is>
          <t>нас ≥</t>
        </is>
      </c>
      <c r="C14" s="13" t="n">
        <v>0</v>
      </c>
      <c r="D14" s="13" t="n">
        <v>4</v>
      </c>
      <c r="E14" s="13" t="n">
        <v>7</v>
      </c>
      <c r="F14" s="13" t="n">
        <v>10</v>
      </c>
    </row>
    <row r="15">
      <c r="A15" s="13" t="inlineStr">
        <is>
          <t>1-1500</t>
        </is>
      </c>
      <c r="B15" s="13" t="n">
        <v>1</v>
      </c>
      <c r="C15" s="23" t="n">
        <v>750000</v>
      </c>
      <c r="D15" s="23" t="n">
        <v>1600000</v>
      </c>
      <c r="E15" s="23" t="n">
        <v>3350000</v>
      </c>
      <c r="F15" s="23" t="n">
        <v>10000000</v>
      </c>
    </row>
    <row r="16">
      <c r="A16" s="13" t="inlineStr">
        <is>
          <t>1501-2500</t>
        </is>
      </c>
      <c r="B16" s="13" t="n">
        <v>1501</v>
      </c>
      <c r="C16" s="23" t="n">
        <v>2300000</v>
      </c>
      <c r="D16" s="23" t="n">
        <v>3200000</v>
      </c>
      <c r="E16" s="23" t="n">
        <v>5000000</v>
      </c>
      <c r="F16" s="23" t="n">
        <v>11700000</v>
      </c>
    </row>
    <row r="17">
      <c r="A17" s="13" t="inlineStr">
        <is>
          <t>2501-3500</t>
        </is>
      </c>
      <c r="B17" s="13" t="n">
        <v>2501</v>
      </c>
      <c r="C17" s="23" t="n">
        <v>3050000</v>
      </c>
      <c r="D17" s="23" t="n">
        <v>4000000</v>
      </c>
      <c r="E17" s="23" t="n">
        <v>6700000</v>
      </c>
      <c r="F17" s="23" t="n">
        <v>13350000</v>
      </c>
    </row>
    <row r="18">
      <c r="A18" s="13" t="inlineStr">
        <is>
          <t>3501-4500</t>
        </is>
      </c>
      <c r="B18" s="13" t="n">
        <v>3501</v>
      </c>
      <c r="C18" s="23" t="n">
        <v>6850750</v>
      </c>
      <c r="D18" s="23" t="n">
        <v>8000000</v>
      </c>
      <c r="E18" s="23" t="n">
        <v>10850000</v>
      </c>
      <c r="F18" s="23" t="n">
        <v>17500000</v>
      </c>
    </row>
    <row r="19">
      <c r="A19" s="13" t="inlineStr">
        <is>
          <t>4501-с дээш</t>
        </is>
      </c>
      <c r="B19" s="13" t="n">
        <v>4501</v>
      </c>
      <c r="C19" s="23" t="n">
        <v>14210000</v>
      </c>
      <c r="D19" s="23" t="n">
        <v>27200000</v>
      </c>
      <c r="E19" s="23" t="n">
        <v>39150000</v>
      </c>
      <c r="F19" s="23" t="n">
        <v>65975000</v>
      </c>
    </row>
    <row r="21">
      <c r="A21" t="inlineStr">
        <is>
          <t>Суудлын автомашины импортын онцгой татвар, шинэ хувь хэмжээ. Нас = тооцох он - үйлдвэрлэсэн он.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2" t="inlineStr">
        <is>
          <t>Тооцоолол</t>
        </is>
      </c>
    </row>
    <row r="2">
      <c r="A2" t="inlineStr">
        <is>
          <t>Буух үнэ = [(үнэ ¥ + нэмэх ¥) × иен ханш + ачилт + онцгой татвар] × (1 + НӨАТ). Шар нүдийг 'Бүх машин' sheet-ийн дээд хэсэгт засна.</t>
        </is>
      </c>
    </row>
    <row r="3">
      <c r="A3" t="inlineStr">
        <is>
          <t>Буух үнэ (эцсийн үнээр): аукционы эцсийн үнээр авсан бол хэд болохыг харуулна (аваагүй машинд харьцуулалт).</t>
        </is>
      </c>
    </row>
    <row r="4">
      <c r="A4" t="inlineStr">
        <is>
          <t>Монголд зарагдах үнэ: car-valuation үнэлгээний загвар (model_2026-10-04_v6_2026fresh.json) — unegui.mn-ийн 2026 онд орж ирсэн, дугаар аваагүй зарууд.</t>
        </is>
      </c>
    </row>
    <row r="5">
      <c r="A5" t="inlineStr">
        <is>
          <t>Загварын үнэ нь зарын (асуусан) үнэ. Бодит зарагдах үнэ ихэвчлэн арай бага. Доод/Дээд = зарын 50% энэ хооронд.</t>
        </is>
      </c>
    </row>
    <row r="6">
      <c r="A6" t="inlineStr">
        <is>
          <t>Аукционы оноо R/RA (засвартай) бол загварт оруулаагүй. Мөнгөлөг өнгө = 'бусад өнгө'.</t>
        </is>
      </c>
    </row>
    <row r="7">
      <c r="A7" t="inlineStr">
        <is>
          <t>Ашигт гаалийн 5% албан татвар, бүртгэл, засвар, зуучлалын зардал ороогүй.</t>
        </is>
      </c>
    </row>
    <row r="8">
      <c r="A8" t="inlineStr">
        <is>
          <t>Цэнхэр тодорсон лот = энэ удаа шинээр нэмэгдсэн. 'Тэмдэглэл' баганад бичсэн зүйл дараагийн шинэчлэлд хадгалагдана.</t>
        </is>
      </c>
    </row>
    <row r="9">
      <c r="A9" t="inlineStr">
        <is>
          <t>Шинэчлэх: Claude Code-ийг E:\tttt-ээс нээгээд 'аукционы машинуудыг үнэл' гэж бичнэ.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2026-10-05T13:33:43Z</dcterms:created>
  <dcterms:modified xmlns:dcterms="http://purl.org/dc/terms/" xmlns:xsi="http://www.w3.org/2001/XMLSchema-instance" xsi:type="dcterms:W3CDTF">2026-10-05T13:33:43Z</dcterms:modified>
</cp:coreProperties>
</file>