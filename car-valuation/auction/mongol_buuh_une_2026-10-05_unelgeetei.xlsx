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үлээгдэж буй" sheetId="1" state="visible" r:id="rId1"/>
    <sheet xmlns:r="http://schemas.openxmlformats.org/officeDocument/2006/relationships" name="Дууссан (зарагдсан үнээр)" sheetId="2" state="visible" r:id="rId2"/>
    <sheet xmlns:r="http://schemas.openxmlformats.org/officeDocument/2006/relationships" name="Тохиргоо" sheetId="3" state="visible" r:id="rId3"/>
    <sheet xmlns:r="http://schemas.openxmlformats.org/officeDocument/2006/relationships" name="Онцгой татвар" sheetId="4" state="visible" r:id="rId4"/>
    <sheet xmlns:r="http://schemas.openxmlformats.org/officeDocument/2006/relationships" name="Загварын тайлбар" sheetId="5" state="visible" r:id="rId5"/>
  </sheets>
  <definedNames>
    <definedName name="_xlnm._FilterDatabase" localSheetId="0" hidden="1">'Хүлээгдэж буй'!$A$1:$Y$14</definedName>
    <definedName name="_xlnm._FilterDatabase" localSheetId="1" hidden="1">'Дууссан (зарагдсан үнээр)'!$A$1:$Z$9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color rgb="000000F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3" fontId="3" fillId="0" borderId="1" pivotButton="0" quotePrefix="0" xfId="0"/>
    <xf numFmtId="0" fontId="1" fillId="0" borderId="0" pivotButton="0" quotePrefix="0" xfId="0"/>
    <xf numFmtId="2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3" fontId="2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7" customWidth="1" min="4" max="4"/>
    <col width="11" customWidth="1" min="5" max="5"/>
    <col width="11" customWidth="1" min="6" max="6"/>
    <col width="9" customWidth="1" min="7" max="7"/>
    <col width="7" customWidth="1" min="8" max="8"/>
    <col width="14" customWidth="1" min="9" max="9"/>
    <col width="15" customWidth="1" min="10" max="10"/>
    <col width="6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40" customWidth="1" min="25" max="25"/>
  </cols>
  <sheetData>
    <row r="1" ht="32" customHeight="1">
      <c r="A1" s="1" t="inlineStr">
        <is>
          <t>Лот</t>
        </is>
      </c>
      <c r="B1" s="1" t="inlineStr">
        <is>
          <t>Аукцион</t>
        </is>
      </c>
      <c r="C1" s="1" t="inlineStr">
        <is>
          <t>Загвар</t>
        </is>
      </c>
      <c r="D1" s="1" t="inlineStr">
        <is>
          <t>Он</t>
        </is>
      </c>
      <c r="E1" s="1" t="inlineStr">
        <is>
          <t>Гүйлт, км</t>
        </is>
      </c>
      <c r="F1" s="1" t="inlineStr">
        <is>
          <t>Хөдөлгүүр, cc</t>
        </is>
      </c>
      <c r="G1" s="1" t="inlineStr">
        <is>
          <t>Төрөл</t>
        </is>
      </c>
      <c r="H1" s="1" t="inlineStr">
        <is>
          <t>Оноо</t>
        </is>
      </c>
      <c r="I1" s="1" t="inlineStr">
        <is>
          <t>Өнгө</t>
        </is>
      </c>
      <c r="J1" s="1" t="inlineStr">
        <is>
          <t>Миний үнэ, ¥</t>
        </is>
      </c>
      <c r="K1" s="1" t="inlineStr">
        <is>
          <t>Нас</t>
        </is>
      </c>
      <c r="L1" s="1" t="inlineStr">
        <is>
          <t>Үнэ + 100,000¥</t>
        </is>
      </c>
      <c r="M1" s="1" t="inlineStr">
        <is>
          <t>Төгрөгөөр</t>
        </is>
      </c>
      <c r="N1" s="1" t="inlineStr">
        <is>
          <t>Ачилт тээвэр</t>
        </is>
      </c>
      <c r="O1" s="1" t="inlineStr">
        <is>
          <t>Онцгой татвар</t>
        </is>
      </c>
      <c r="P1" s="1" t="inlineStr">
        <is>
          <t>НӨАТ-гүй дүн</t>
        </is>
      </c>
      <c r="Q1" s="1" t="inlineStr">
        <is>
          <t>НӨАТ</t>
        </is>
      </c>
      <c r="R1" s="1" t="inlineStr">
        <is>
          <t>Монголд буух үнэ, ₮</t>
        </is>
      </c>
      <c r="S1" s="13" t="inlineStr">
        <is>
          <t>Монголд зарагдах үнэ (загвар), ₮</t>
        </is>
      </c>
      <c r="T1" s="13" t="inlineStr">
        <is>
          <t>Доод (25%), ₮</t>
        </is>
      </c>
      <c r="U1" s="13" t="inlineStr">
        <is>
          <t>Дээд (75%), ₮</t>
        </is>
      </c>
      <c r="V1" s="13" t="inlineStr">
        <is>
          <t>Ашиг / алдагдал, ₮</t>
        </is>
      </c>
      <c r="W1" s="13" t="inlineStr">
        <is>
          <t>Ашгийн хувь</t>
        </is>
      </c>
      <c r="X1" s="13" t="inlineStr">
        <is>
          <t>Загварын итгэл</t>
        </is>
      </c>
      <c r="Y1" s="13" t="inlineStr">
        <is>
          <t>Загварт тооцсон шинж</t>
        </is>
      </c>
    </row>
    <row r="2">
      <c r="A2" s="2" t="inlineStr">
        <is>
          <t>30167</t>
        </is>
      </c>
      <c r="B2" s="2" t="inlineStr">
        <is>
          <t>CAA Gifu</t>
        </is>
      </c>
      <c r="C2" s="2" t="inlineStr">
        <is>
          <t>Prius Alpha ZVW40W G</t>
        </is>
      </c>
      <c r="D2" s="2" t="n">
        <v>2011</v>
      </c>
      <c r="E2" s="3" t="n">
        <v>149000</v>
      </c>
      <c r="F2" s="3" t="n">
        <v>1800</v>
      </c>
      <c r="G2" s="2" t="inlineStr">
        <is>
          <t>Хайбрид</t>
        </is>
      </c>
      <c r="H2" s="2" t="inlineStr">
        <is>
          <t>3.5</t>
        </is>
      </c>
      <c r="I2" s="2" t="inlineStr">
        <is>
          <t>сувдан цагаан</t>
        </is>
      </c>
      <c r="J2" s="3" t="n">
        <v>305000</v>
      </c>
      <c r="K2" s="4">
        <f>Тохиргоо!$B$7-D2</f>
        <v/>
      </c>
      <c r="L2" s="3">
        <f>J2+Тохиргоо!$B$4</f>
        <v/>
      </c>
      <c r="M2" s="3">
        <f>L2*Тохиргоо!$B$3</f>
        <v/>
      </c>
      <c r="N2" s="3">
        <f>Тохиргоо!$B$5</f>
        <v/>
      </c>
      <c r="O2" s="3">
        <f>IF(G2="Хайбрид",INDEX('Онцгой татвар'!$C$6:$F$10,MATCH(F2,'Онцгой татвар'!$B$6:$B$10,1),MATCH(K2,'Онцгой татвар'!$C$5:$F$5,1)),INDEX('Онцгой татвар'!$C$15:$F$19,MATCH(F2,'Онцгой татвар'!$B$15:$B$19,1),MATCH(K2,'Онцгой татвар'!$C$14:$F$14,1)))</f>
        <v/>
      </c>
      <c r="P2" s="3">
        <f>M2+N2+O2</f>
        <v/>
      </c>
      <c r="Q2" s="3">
        <f>P2*Тохиргоо!$B$6</f>
        <v/>
      </c>
      <c r="R2" s="5">
        <f>P2+Q2</f>
        <v/>
      </c>
      <c r="S2" s="5" t="n">
        <v>26983000</v>
      </c>
      <c r="T2" s="3" t="n">
        <v>25874000</v>
      </c>
      <c r="U2" s="3" t="n">
        <v>28057000</v>
      </c>
      <c r="V2" s="3">
        <f>S2-R2</f>
        <v/>
      </c>
      <c r="W2" s="14">
        <f>V2/R2</f>
        <v/>
      </c>
      <c r="X2" s="3" t="inlineStr">
        <is>
          <t>Дунд (18 зар)</t>
        </is>
      </c>
      <c r="Y2" s="3" t="inlineStr">
        <is>
          <t>7 суудал +3.6%, G +1.1%, өнгө +6.1%, оноо 3.5 -1.2%</t>
        </is>
      </c>
    </row>
    <row r="3">
      <c r="A3" s="2" t="inlineStr">
        <is>
          <t>30044</t>
        </is>
      </c>
      <c r="B3" s="2" t="inlineStr">
        <is>
          <t>CAA Tokyo</t>
        </is>
      </c>
      <c r="C3" s="2" t="inlineStr">
        <is>
          <t>Prius ZVW50 S Touring</t>
        </is>
      </c>
      <c r="D3" s="2" t="n">
        <v>2018</v>
      </c>
      <c r="E3" s="3" t="n">
        <v>205000</v>
      </c>
      <c r="F3" s="3" t="n">
        <v>1800</v>
      </c>
      <c r="G3" s="2" t="inlineStr">
        <is>
          <t>Хайбрид</t>
        </is>
      </c>
      <c r="H3" s="2" t="inlineStr">
        <is>
          <t>3.5</t>
        </is>
      </c>
      <c r="I3" s="2" t="inlineStr">
        <is>
          <t>сувдан цагаан</t>
        </is>
      </c>
      <c r="J3" s="3" t="n">
        <v>500000</v>
      </c>
      <c r="K3" s="4">
        <f>Тохиргоо!$B$7-D3</f>
        <v/>
      </c>
      <c r="L3" s="3">
        <f>J3+Тохиргоо!$B$4</f>
        <v/>
      </c>
      <c r="M3" s="3">
        <f>L3*Тохиргоо!$B$3</f>
        <v/>
      </c>
      <c r="N3" s="3">
        <f>Тохиргоо!$B$5</f>
        <v/>
      </c>
      <c r="O3" s="3">
        <f>IF(G3="Хайбрид",INDEX('Онцгой татвар'!$C$6:$F$10,MATCH(F3,'Онцгой татвар'!$B$6:$B$10,1),MATCH(K3,'Онцгой татвар'!$C$5:$F$5,1)),INDEX('Онцгой татвар'!$C$15:$F$19,MATCH(F3,'Онцгой татвар'!$B$15:$B$19,1),MATCH(K3,'Онцгой татвар'!$C$14:$F$14,1)))</f>
        <v/>
      </c>
      <c r="P3" s="3">
        <f>M3+N3+O3</f>
        <v/>
      </c>
      <c r="Q3" s="3">
        <f>P3*Тохиргоо!$B$6</f>
        <v/>
      </c>
      <c r="R3" s="5">
        <f>P3+Q3</f>
        <v/>
      </c>
      <c r="S3" s="5" t="n">
        <v>32969000</v>
      </c>
      <c r="T3" s="3" t="n">
        <v>31613000</v>
      </c>
      <c r="U3" s="3" t="n">
        <v>34280000</v>
      </c>
      <c r="V3" s="3">
        <f>S3-R3</f>
        <v/>
      </c>
      <c r="W3" s="14">
        <f>V3/R3</f>
        <v/>
      </c>
      <c r="X3" s="3" t="inlineStr">
        <is>
          <t>Өгөгдөл цөөн (7 зар)</t>
        </is>
      </c>
      <c r="Y3" s="3" t="inlineStr">
        <is>
          <t>гүйлт 205k -1.9%, S Touring +5.8%, өнгө +6.1%, оноо 3.5 -1.2%</t>
        </is>
      </c>
    </row>
    <row r="4">
      <c r="A4" s="2" t="inlineStr">
        <is>
          <t>10318</t>
        </is>
      </c>
      <c r="B4" s="2" t="inlineStr">
        <is>
          <t>CAA Tokyo</t>
        </is>
      </c>
      <c r="C4" s="2" t="inlineStr">
        <is>
          <t>Prius Alpha ZVW41W S Touring</t>
        </is>
      </c>
      <c r="D4" s="2" t="n">
        <v>2012</v>
      </c>
      <c r="E4" s="3" t="n">
        <v>161000</v>
      </c>
      <c r="F4" s="3" t="n">
        <v>1800</v>
      </c>
      <c r="G4" s="2" t="inlineStr">
        <is>
          <t>Хайбрид</t>
        </is>
      </c>
      <c r="H4" s="2" t="inlineStr">
        <is>
          <t>3.5</t>
        </is>
      </c>
      <c r="I4" s="2" t="inlineStr">
        <is>
          <t>сувдан цагаан</t>
        </is>
      </c>
      <c r="J4" s="3" t="n">
        <v>295000</v>
      </c>
      <c r="K4" s="4">
        <f>Тохиргоо!$B$7-D4</f>
        <v/>
      </c>
      <c r="L4" s="3">
        <f>J4+Тохиргоо!$B$4</f>
        <v/>
      </c>
      <c r="M4" s="3">
        <f>L4*Тохиргоо!$B$3</f>
        <v/>
      </c>
      <c r="N4" s="3">
        <f>Тохиргоо!$B$5</f>
        <v/>
      </c>
      <c r="O4" s="3">
        <f>IF(G4="Хайбрид",INDEX('Онцгой татвар'!$C$6:$F$10,MATCH(F4,'Онцгой татвар'!$B$6:$B$10,1),MATCH(K4,'Онцгой татвар'!$C$5:$F$5,1)),INDEX('Онцгой татвар'!$C$15:$F$19,MATCH(F4,'Онцгой татвар'!$B$15:$B$19,1),MATCH(K4,'Онцгой татвар'!$C$14:$F$14,1)))</f>
        <v/>
      </c>
      <c r="P4" s="3">
        <f>M4+N4+O4</f>
        <v/>
      </c>
      <c r="Q4" s="3">
        <f>P4*Тохиргоо!$B$6</f>
        <v/>
      </c>
      <c r="R4" s="5">
        <f>P4+Q4</f>
        <v/>
      </c>
      <c r="S4" s="5" t="n">
        <v>26634000</v>
      </c>
      <c r="T4" s="3" t="n">
        <v>25539000</v>
      </c>
      <c r="U4" s="3" t="n">
        <v>27694000</v>
      </c>
      <c r="V4" s="3">
        <f>S4-R4</f>
        <v/>
      </c>
      <c r="W4" s="14">
        <f>V4/R4</f>
        <v/>
      </c>
      <c r="X4" s="3" t="inlineStr">
        <is>
          <t>Найдвартай (47 зар)</t>
        </is>
      </c>
      <c r="Y4" s="3" t="inlineStr">
        <is>
          <t>гүйлт 161k -0.3%, S Touring +4.0%, өнгө +6.1%, оноо 3.5 -1.2%</t>
        </is>
      </c>
    </row>
    <row r="5">
      <c r="A5" s="2" t="inlineStr">
        <is>
          <t>10170</t>
        </is>
      </c>
      <c r="B5" s="2" t="inlineStr">
        <is>
          <t>CAA Tokyo</t>
        </is>
      </c>
      <c r="C5" s="2" t="inlineStr">
        <is>
          <t>Prius Alpha ZVW41W G Touring</t>
        </is>
      </c>
      <c r="D5" s="2" t="n">
        <v>2012</v>
      </c>
      <c r="E5" s="3" t="n">
        <v>169000</v>
      </c>
      <c r="F5" s="3" t="n">
        <v>1800</v>
      </c>
      <c r="G5" s="2" t="inlineStr">
        <is>
          <t>Хайбрид</t>
        </is>
      </c>
      <c r="H5" s="2" t="inlineStr">
        <is>
          <t>3.5</t>
        </is>
      </c>
      <c r="I5" s="2" t="inlineStr">
        <is>
          <t>сувдан цагаан</t>
        </is>
      </c>
      <c r="J5" s="3" t="n">
        <v>295000</v>
      </c>
      <c r="K5" s="4">
        <f>Тохиргоо!$B$7-D5</f>
        <v/>
      </c>
      <c r="L5" s="3">
        <f>J5+Тохиргоо!$B$4</f>
        <v/>
      </c>
      <c r="M5" s="3">
        <f>L5*Тохиргоо!$B$3</f>
        <v/>
      </c>
      <c r="N5" s="3">
        <f>Тохиргоо!$B$5</f>
        <v/>
      </c>
      <c r="O5" s="3">
        <f>IF(G5="Хайбрид",INDEX('Онцгой татвар'!$C$6:$F$10,MATCH(F5,'Онцгой татвар'!$B$6:$B$10,1),MATCH(K5,'Онцгой татвар'!$C$5:$F$5,1)),INDEX('Онцгой татвар'!$C$15:$F$19,MATCH(F5,'Онцгой татвар'!$B$15:$B$19,1),MATCH(K5,'Онцгой татвар'!$C$14:$F$14,1)))</f>
        <v/>
      </c>
      <c r="P5" s="3">
        <f>M5+N5+O5</f>
        <v/>
      </c>
      <c r="Q5" s="3">
        <f>P5*Тохиргоо!$B$6</f>
        <v/>
      </c>
      <c r="R5" s="5">
        <f>P5+Q5</f>
        <v/>
      </c>
      <c r="S5" s="5" t="n">
        <v>26387000</v>
      </c>
      <c r="T5" s="3" t="n">
        <v>25302000</v>
      </c>
      <c r="U5" s="3" t="n">
        <v>27436000</v>
      </c>
      <c r="V5" s="3">
        <f>S5-R5</f>
        <v/>
      </c>
      <c r="W5" s="14">
        <f>V5/R5</f>
        <v/>
      </c>
      <c r="X5" s="3" t="inlineStr">
        <is>
          <t>Найдвартай (47 зар)</t>
        </is>
      </c>
      <c r="Y5" s="3" t="inlineStr">
        <is>
          <t>гүйлт 169k -0.5%, G Touring +3.2%, өнгө +6.1%, оноо 3.5 -1.2%</t>
        </is>
      </c>
    </row>
    <row r="6">
      <c r="A6" s="2" t="inlineStr">
        <is>
          <t>174</t>
        </is>
      </c>
      <c r="B6" s="2" t="inlineStr">
        <is>
          <t>TAA Hiroshima</t>
        </is>
      </c>
      <c r="C6" s="2" t="inlineStr">
        <is>
          <t>Prius ZVW51 A Premium</t>
        </is>
      </c>
      <c r="D6" s="2" t="n">
        <v>2017</v>
      </c>
      <c r="E6" s="3" t="n">
        <v>189000</v>
      </c>
      <c r="F6" s="3" t="n">
        <v>1800</v>
      </c>
      <c r="G6" s="2" t="inlineStr">
        <is>
          <t>Хайбрид</t>
        </is>
      </c>
      <c r="H6" s="2" t="inlineStr">
        <is>
          <t>3.5</t>
        </is>
      </c>
      <c r="I6" s="2" t="inlineStr">
        <is>
          <t>цагаан</t>
        </is>
      </c>
      <c r="J6" s="3" t="n">
        <v>530000</v>
      </c>
      <c r="K6" s="4">
        <f>Тохиргоо!$B$7-D6</f>
        <v/>
      </c>
      <c r="L6" s="3">
        <f>J6+Тохиргоо!$B$4</f>
        <v/>
      </c>
      <c r="M6" s="3">
        <f>L6*Тохиргоо!$B$3</f>
        <v/>
      </c>
      <c r="N6" s="3">
        <f>Тохиргоо!$B$5</f>
        <v/>
      </c>
      <c r="O6" s="3">
        <f>IF(G6="Хайбрид",INDEX('Онцгой татвар'!$C$6:$F$10,MATCH(F6,'Онцгой татвар'!$B$6:$B$10,1),MATCH(K6,'Онцгой татвар'!$C$5:$F$5,1)),INDEX('Онцгой татвар'!$C$15:$F$19,MATCH(F6,'Онцгой татвар'!$B$15:$B$19,1),MATCH(K6,'Онцгой татвар'!$C$14:$F$14,1)))</f>
        <v/>
      </c>
      <c r="P6" s="3">
        <f>M6+N6+O6</f>
        <v/>
      </c>
      <c r="Q6" s="3">
        <f>P6*Тохиргоо!$B$6</f>
        <v/>
      </c>
      <c r="R6" s="5">
        <f>P6+Q6</f>
        <v/>
      </c>
      <c r="S6" s="5" t="n">
        <v>34406000</v>
      </c>
      <c r="T6" s="3" t="n">
        <v>32991000</v>
      </c>
      <c r="U6" s="3" t="n">
        <v>35775000</v>
      </c>
      <c r="V6" s="3">
        <f>S6-R6</f>
        <v/>
      </c>
      <c r="W6" s="14">
        <f>V6/R6</f>
        <v/>
      </c>
      <c r="X6" s="3" t="inlineStr">
        <is>
          <t>Найдвартай (32 зар)</t>
        </is>
      </c>
      <c r="Y6" s="3" t="inlineStr">
        <is>
          <t>ZVW51 +7.1%, гүйлт 189k -1.0%, A Premium +10.5%, өнгө +3.8%, оноо 3.5 -1.2%</t>
        </is>
      </c>
    </row>
    <row r="7">
      <c r="A7" s="2" t="inlineStr">
        <is>
          <t>7</t>
        </is>
      </c>
      <c r="B7" s="2" t="inlineStr">
        <is>
          <t>TAA Kinki</t>
        </is>
      </c>
      <c r="C7" s="2" t="inlineStr">
        <is>
          <t>Camry AXVH70 G Leather</t>
        </is>
      </c>
      <c r="D7" s="2" t="n">
        <v>2019</v>
      </c>
      <c r="E7" s="3" t="n">
        <v>143000</v>
      </c>
      <c r="F7" s="3" t="n">
        <v>2500</v>
      </c>
      <c r="G7" s="2" t="inlineStr">
        <is>
          <t>Хайбрид</t>
        </is>
      </c>
      <c r="H7" s="2" t="inlineStr">
        <is>
          <t>4</t>
        </is>
      </c>
      <c r="I7" s="2" t="inlineStr">
        <is>
          <t>хар</t>
        </is>
      </c>
      <c r="J7" s="3" t="n">
        <v>950000</v>
      </c>
      <c r="K7" s="4">
        <f>Тохиргоо!$B$7-D7</f>
        <v/>
      </c>
      <c r="L7" s="3">
        <f>J7+Тохиргоо!$B$4</f>
        <v/>
      </c>
      <c r="M7" s="3">
        <f>L7*Тохиргоо!$B$3</f>
        <v/>
      </c>
      <c r="N7" s="3">
        <f>Тохиргоо!$B$5</f>
        <v/>
      </c>
      <c r="O7" s="3">
        <f>IF(G7="Хайбрид",INDEX('Онцгой татвар'!$C$6:$F$10,MATCH(F7,'Онцгой татвар'!$B$6:$B$10,1),MATCH(K7,'Онцгой татвар'!$C$5:$F$5,1)),INDEX('Онцгой татвар'!$C$15:$F$19,MATCH(F7,'Онцгой татвар'!$B$15:$B$19,1),MATCH(K7,'Онцгой татвар'!$C$14:$F$14,1)))</f>
        <v/>
      </c>
      <c r="P7" s="3">
        <f>M7+N7+O7</f>
        <v/>
      </c>
      <c r="Q7" s="3">
        <f>P7*Тохиргоо!$B$6</f>
        <v/>
      </c>
      <c r="R7" s="5">
        <f>P7+Q7</f>
        <v/>
      </c>
      <c r="S7" s="5" t="n">
        <v>53395000</v>
      </c>
      <c r="T7" s="3" t="n">
        <v>51199000</v>
      </c>
      <c r="U7" s="3" t="n">
        <v>55519000</v>
      </c>
      <c r="V7" s="3">
        <f>S7-R7</f>
        <v/>
      </c>
      <c r="W7" s="14">
        <f>V7/R7</f>
        <v/>
      </c>
      <c r="X7" s="3" t="inlineStr">
        <is>
          <t>Өгөгдөл цөөн (5 зар)</t>
        </is>
      </c>
      <c r="Y7" s="3" t="inlineStr">
        <is>
          <t>гүйлт 143k +0.3%, G Leather +10.0%, оноо 4 +0.8%</t>
        </is>
      </c>
    </row>
    <row r="8">
      <c r="A8" s="2" t="inlineStr">
        <is>
          <t>180</t>
        </is>
      </c>
      <c r="B8" s="2" t="inlineStr">
        <is>
          <t>TAA Kinki</t>
        </is>
      </c>
      <c r="C8" s="2" t="inlineStr">
        <is>
          <t>Prius Alpha ZVW41W G</t>
        </is>
      </c>
      <c r="D8" s="2" t="n">
        <v>2012</v>
      </c>
      <c r="E8" s="3" t="n">
        <v>160000</v>
      </c>
      <c r="F8" s="3" t="n">
        <v>1800</v>
      </c>
      <c r="G8" s="2" t="inlineStr">
        <is>
          <t>Хайбрид</t>
        </is>
      </c>
      <c r="H8" s="2" t="inlineStr">
        <is>
          <t>3.5</t>
        </is>
      </c>
      <c r="I8" s="2" t="inlineStr">
        <is>
          <t>мөнгөлөг</t>
        </is>
      </c>
      <c r="J8" s="3" t="n">
        <v>270000</v>
      </c>
      <c r="K8" s="4">
        <f>Тохиргоо!$B$7-D8</f>
        <v/>
      </c>
      <c r="L8" s="3">
        <f>J8+Тохиргоо!$B$4</f>
        <v/>
      </c>
      <c r="M8" s="3">
        <f>L8*Тохиргоо!$B$3</f>
        <v/>
      </c>
      <c r="N8" s="3">
        <f>Тохиргоо!$B$5</f>
        <v/>
      </c>
      <c r="O8" s="3">
        <f>IF(G8="Хайбрид",INDEX('Онцгой татвар'!$C$6:$F$10,MATCH(F8,'Онцгой татвар'!$B$6:$B$10,1),MATCH(K8,'Онцгой татвар'!$C$5:$F$5,1)),INDEX('Онцгой татвар'!$C$15:$F$19,MATCH(F8,'Онцгой татвар'!$B$15:$B$19,1),MATCH(K8,'Онцгой татвар'!$C$14:$F$14,1)))</f>
        <v/>
      </c>
      <c r="P8" s="3">
        <f>M8+N8+O8</f>
        <v/>
      </c>
      <c r="Q8" s="3">
        <f>P8*Тохиргоо!$B$6</f>
        <v/>
      </c>
      <c r="R8" s="5">
        <f>P8+Q8</f>
        <v/>
      </c>
      <c r="S8" s="5" t="n">
        <v>26164000</v>
      </c>
      <c r="T8" s="3" t="n">
        <v>25088000</v>
      </c>
      <c r="U8" s="3" t="n">
        <v>27204000</v>
      </c>
      <c r="V8" s="3">
        <f>S8-R8</f>
        <v/>
      </c>
      <c r="W8" s="14">
        <f>V8/R8</f>
        <v/>
      </c>
      <c r="X8" s="3" t="inlineStr">
        <is>
          <t>Найдвартай (47 зар)</t>
        </is>
      </c>
      <c r="Y8" s="3" t="inlineStr">
        <is>
          <t>гүйлт 160k -0.3%, G +1.1%, өнгө +7.1%, оноо 3.5 -1.2%</t>
        </is>
      </c>
    </row>
    <row r="9">
      <c r="A9" s="2" t="inlineStr">
        <is>
          <t>387</t>
        </is>
      </c>
      <c r="B9" s="2" t="inlineStr">
        <is>
          <t>TAA Kinki</t>
        </is>
      </c>
      <c r="C9" s="2" t="inlineStr">
        <is>
          <t>Prius ZVW51 A</t>
        </is>
      </c>
      <c r="D9" s="2" t="n">
        <v>2017</v>
      </c>
      <c r="E9" s="3" t="n">
        <v>136000</v>
      </c>
      <c r="F9" s="3" t="n">
        <v>1800</v>
      </c>
      <c r="G9" s="2" t="inlineStr">
        <is>
          <t>Хайбрид</t>
        </is>
      </c>
      <c r="H9" s="2" t="inlineStr">
        <is>
          <t>RA</t>
        </is>
      </c>
      <c r="I9" s="2" t="inlineStr">
        <is>
          <t>мөнгөлөг</t>
        </is>
      </c>
      <c r="J9" s="3" t="n">
        <v>700000</v>
      </c>
      <c r="K9" s="4">
        <f>Тохиргоо!$B$7-D9</f>
        <v/>
      </c>
      <c r="L9" s="3">
        <f>J9+Тохиргоо!$B$4</f>
        <v/>
      </c>
      <c r="M9" s="3">
        <f>L9*Тохиргоо!$B$3</f>
        <v/>
      </c>
      <c r="N9" s="3">
        <f>Тохиргоо!$B$5</f>
        <v/>
      </c>
      <c r="O9" s="3">
        <f>IF(G9="Хайбрид",INDEX('Онцгой татвар'!$C$6:$F$10,MATCH(F9,'Онцгой татвар'!$B$6:$B$10,1),MATCH(K9,'Онцгой татвар'!$C$5:$F$5,1)),INDEX('Онцгой татвар'!$C$15:$F$19,MATCH(F9,'Онцгой татвар'!$B$15:$B$19,1),MATCH(K9,'Онцгой татвар'!$C$14:$F$14,1)))</f>
        <v/>
      </c>
      <c r="P9" s="3">
        <f>M9+N9+O9</f>
        <v/>
      </c>
      <c r="Q9" s="3">
        <f>P9*Тохиргоо!$B$6</f>
        <v/>
      </c>
      <c r="R9" s="5">
        <f>P9+Q9</f>
        <v/>
      </c>
      <c r="S9" s="5" t="n">
        <v>34277000</v>
      </c>
      <c r="T9" s="3" t="n">
        <v>32867000</v>
      </c>
      <c r="U9" s="3" t="n">
        <v>35640000</v>
      </c>
      <c r="V9" s="3">
        <f>S9-R9</f>
        <v/>
      </c>
      <c r="W9" s="14">
        <f>V9/R9</f>
        <v/>
      </c>
      <c r="X9" s="3" t="inlineStr">
        <is>
          <t>Найдвартай (32 зар)</t>
        </is>
      </c>
      <c r="Y9" s="3" t="inlineStr">
        <is>
          <t>ZVW51 +7.1%, гүйлт 136k +0.2%, A +4.0%, өнгө +7.1%</t>
        </is>
      </c>
    </row>
    <row r="10">
      <c r="A10" s="2" t="inlineStr">
        <is>
          <t>620</t>
        </is>
      </c>
      <c r="B10" s="2" t="inlineStr">
        <is>
          <t>TAA Kinki</t>
        </is>
      </c>
      <c r="C10" s="2" t="inlineStr">
        <is>
          <t>Prius Alpha ZVW40W S Tune Black</t>
        </is>
      </c>
      <c r="D10" s="2" t="n">
        <v>2014</v>
      </c>
      <c r="E10" s="3" t="n">
        <v>156000</v>
      </c>
      <c r="F10" s="3" t="n">
        <v>1800</v>
      </c>
      <c r="G10" s="2" t="inlineStr">
        <is>
          <t>Хайбрид</t>
        </is>
      </c>
      <c r="H10" s="2" t="inlineStr">
        <is>
          <t>RA</t>
        </is>
      </c>
      <c r="I10" s="2" t="inlineStr">
        <is>
          <t>хар</t>
        </is>
      </c>
      <c r="J10" s="3" t="n">
        <v>280000</v>
      </c>
      <c r="K10" s="4">
        <f>Тохиргоо!$B$7-D10</f>
        <v/>
      </c>
      <c r="L10" s="3">
        <f>J10+Тохиргоо!$B$4</f>
        <v/>
      </c>
      <c r="M10" s="3">
        <f>L10*Тохиргоо!$B$3</f>
        <v/>
      </c>
      <c r="N10" s="3">
        <f>Тохиргоо!$B$5</f>
        <v/>
      </c>
      <c r="O10" s="3">
        <f>IF(G10="Хайбрид",INDEX('Онцгой татвар'!$C$6:$F$10,MATCH(F10,'Онцгой татвар'!$B$6:$B$10,1),MATCH(K10,'Онцгой татвар'!$C$5:$F$5,1)),INDEX('Онцгой татвар'!$C$15:$F$19,MATCH(F10,'Онцгой татвар'!$B$15:$B$19,1),MATCH(K10,'Онцгой татвар'!$C$14:$F$14,1)))</f>
        <v/>
      </c>
      <c r="P10" s="3">
        <f>M10+N10+O10</f>
        <v/>
      </c>
      <c r="Q10" s="3">
        <f>P10*Тохиргоо!$B$6</f>
        <v/>
      </c>
      <c r="R10" s="5">
        <f>P10+Q10</f>
        <v/>
      </c>
      <c r="S10" s="5" t="n">
        <v>28687000</v>
      </c>
      <c r="T10" s="3" t="n">
        <v>27507000</v>
      </c>
      <c r="U10" s="3" t="n">
        <v>29828000</v>
      </c>
      <c r="V10" s="3">
        <f>S10-R10</f>
        <v/>
      </c>
      <c r="W10" s="14">
        <f>V10/R10</f>
        <v/>
      </c>
      <c r="X10" s="3" t="inlineStr">
        <is>
          <t>Дунд (17 зар)</t>
        </is>
      </c>
      <c r="Y10" s="3" t="inlineStr">
        <is>
          <t>7 суудал +3.6%, гүйлт 156k -0.2%, S Tune Black +0.8%</t>
        </is>
      </c>
    </row>
    <row r="11">
      <c r="A11" s="2" t="inlineStr">
        <is>
          <t>665</t>
        </is>
      </c>
      <c r="B11" s="2" t="inlineStr">
        <is>
          <t>TAA Kinki</t>
        </is>
      </c>
      <c r="C11" s="2" t="inlineStr">
        <is>
          <t>Prius Alpha ZVW41W S Touring</t>
        </is>
      </c>
      <c r="D11" s="2" t="n">
        <v>2014</v>
      </c>
      <c r="E11" s="3" t="n">
        <v>165000</v>
      </c>
      <c r="F11" s="3" t="n">
        <v>1800</v>
      </c>
      <c r="G11" s="2" t="inlineStr">
        <is>
          <t>Хайбрид</t>
        </is>
      </c>
      <c r="H11" s="2" t="inlineStr">
        <is>
          <t>3.5</t>
        </is>
      </c>
      <c r="I11" s="2" t="inlineStr">
        <is>
          <t>саарал</t>
        </is>
      </c>
      <c r="J11" s="3" t="n">
        <v>275000</v>
      </c>
      <c r="K11" s="4">
        <f>Тохиргоо!$B$7-D11</f>
        <v/>
      </c>
      <c r="L11" s="3">
        <f>J11+Тохиргоо!$B$4</f>
        <v/>
      </c>
      <c r="M11" s="3">
        <f>L11*Тохиргоо!$B$3</f>
        <v/>
      </c>
      <c r="N11" s="3">
        <f>Тохиргоо!$B$5</f>
        <v/>
      </c>
      <c r="O11" s="3">
        <f>IF(G11="Хайбрид",INDEX('Онцгой татвар'!$C$6:$F$10,MATCH(F11,'Онцгой татвар'!$B$6:$B$10,1),MATCH(K11,'Онцгой татвар'!$C$5:$F$5,1)),INDEX('Онцгой татвар'!$C$15:$F$19,MATCH(F11,'Онцгой татвар'!$B$15:$B$19,1),MATCH(K11,'Онцгой татвар'!$C$14:$F$14,1)))</f>
        <v/>
      </c>
      <c r="P11" s="3">
        <f>M11+N11+O11</f>
        <v/>
      </c>
      <c r="Q11" s="3">
        <f>P11*Тохиргоо!$B$6</f>
        <v/>
      </c>
      <c r="R11" s="5">
        <f>P11+Q11</f>
        <v/>
      </c>
      <c r="S11" s="5" t="n">
        <v>28624000</v>
      </c>
      <c r="T11" s="3" t="n">
        <v>27446000</v>
      </c>
      <c r="U11" s="3" t="n">
        <v>29762000</v>
      </c>
      <c r="V11" s="3">
        <f>S11-R11</f>
        <v/>
      </c>
      <c r="W11" s="14">
        <f>V11/R11</f>
        <v/>
      </c>
      <c r="X11" s="3" t="inlineStr">
        <is>
          <t>Дунд (17 зар)</t>
        </is>
      </c>
      <c r="Y11" s="3" t="inlineStr">
        <is>
          <t>гүйлт 165k -0.5%, S Touring +4.0%, өнгө +1.8%, оноо 3.5 -1.2%</t>
        </is>
      </c>
    </row>
    <row r="12">
      <c r="A12" s="2" t="inlineStr">
        <is>
          <t>70060</t>
        </is>
      </c>
      <c r="B12" s="2" t="inlineStr">
        <is>
          <t>TAA Kinki</t>
        </is>
      </c>
      <c r="C12" s="2" t="inlineStr">
        <is>
          <t>Camry AXVH70 G</t>
        </is>
      </c>
      <c r="D12" s="2" t="n">
        <v>2017</v>
      </c>
      <c r="E12" s="3" t="n">
        <v>111000</v>
      </c>
      <c r="F12" s="3" t="n">
        <v>2500</v>
      </c>
      <c r="G12" s="2" t="inlineStr">
        <is>
          <t>Хайбрид</t>
        </is>
      </c>
      <c r="H12" s="2" t="inlineStr">
        <is>
          <t>3.5</t>
        </is>
      </c>
      <c r="I12" s="2" t="inlineStr">
        <is>
          <t>сувдан цагаан</t>
        </is>
      </c>
      <c r="J12" s="3" t="n">
        <v>980000</v>
      </c>
      <c r="K12" s="4">
        <f>Тохиргоо!$B$7-D12</f>
        <v/>
      </c>
      <c r="L12" s="3">
        <f>J12+Тохиргоо!$B$4</f>
        <v/>
      </c>
      <c r="M12" s="3">
        <f>L12*Тохиргоо!$B$3</f>
        <v/>
      </c>
      <c r="N12" s="3">
        <f>Тохиргоо!$B$5</f>
        <v/>
      </c>
      <c r="O12" s="3">
        <f>IF(G12="Хайбрид",INDEX('Онцгой татвар'!$C$6:$F$10,MATCH(F12,'Онцгой татвар'!$B$6:$B$10,1),MATCH(K12,'Онцгой татвар'!$C$5:$F$5,1)),INDEX('Онцгой татвар'!$C$15:$F$19,MATCH(F12,'Онцгой татвар'!$B$15:$B$19,1),MATCH(K12,'Онцгой татвар'!$C$14:$F$14,1)))</f>
        <v/>
      </c>
      <c r="P12" s="3">
        <f>M12+N12+O12</f>
        <v/>
      </c>
      <c r="Q12" s="3">
        <f>P12*Тохиргоо!$B$6</f>
        <v/>
      </c>
      <c r="R12" s="5">
        <f>P12+Q12</f>
        <v/>
      </c>
      <c r="S12" s="5" t="n">
        <v>46298000</v>
      </c>
      <c r="T12" s="3" t="n">
        <v>44394000</v>
      </c>
      <c r="U12" s="3" t="n">
        <v>48139000</v>
      </c>
      <c r="V12" s="3">
        <f>S12-R12</f>
        <v/>
      </c>
      <c r="W12" s="14">
        <f>V12/R12</f>
        <v/>
      </c>
      <c r="X12" s="3" t="inlineStr">
        <is>
          <t>Дунд (15 зар)</t>
        </is>
      </c>
      <c r="Y12" s="3" t="inlineStr">
        <is>
          <t>гүйлт 111k +0.7%, өнгө +6.1%, оноо 3.5 -1.2%</t>
        </is>
      </c>
    </row>
    <row r="13">
      <c r="A13" s="2" t="inlineStr">
        <is>
          <t>6130</t>
        </is>
      </c>
      <c r="B13" s="2" t="inlineStr">
        <is>
          <t>TAA Kyushu</t>
        </is>
      </c>
      <c r="C13" s="2" t="inlineStr">
        <is>
          <t>Camry AXVH70 WS</t>
        </is>
      </c>
      <c r="D13" s="2" t="n">
        <v>2018</v>
      </c>
      <c r="E13" s="3" t="n">
        <v>145000</v>
      </c>
      <c r="F13" s="3" t="n">
        <v>2500</v>
      </c>
      <c r="G13" s="2" t="inlineStr">
        <is>
          <t>Хайбрид</t>
        </is>
      </c>
      <c r="H13" s="2" t="inlineStr">
        <is>
          <t>4</t>
        </is>
      </c>
      <c r="I13" s="2" t="inlineStr">
        <is>
          <t>сувдан цагаан</t>
        </is>
      </c>
      <c r="J13" s="3" t="n">
        <v>1000000</v>
      </c>
      <c r="K13" s="4">
        <f>Тохиргоо!$B$7-D13</f>
        <v/>
      </c>
      <c r="L13" s="3">
        <f>J13+Тохиргоо!$B$4</f>
        <v/>
      </c>
      <c r="M13" s="3">
        <f>L13*Тохиргоо!$B$3</f>
        <v/>
      </c>
      <c r="N13" s="3">
        <f>Тохиргоо!$B$5</f>
        <v/>
      </c>
      <c r="O13" s="3">
        <f>IF(G13="Хайбрид",INDEX('Онцгой татвар'!$C$6:$F$10,MATCH(F13,'Онцгой татвар'!$B$6:$B$10,1),MATCH(K13,'Онцгой татвар'!$C$5:$F$5,1)),INDEX('Онцгой татвар'!$C$15:$F$19,MATCH(F13,'Онцгой татвар'!$B$15:$B$19,1),MATCH(K13,'Онцгой татвар'!$C$14:$F$14,1)))</f>
        <v/>
      </c>
      <c r="P13" s="3">
        <f>M13+N13+O13</f>
        <v/>
      </c>
      <c r="Q13" s="3">
        <f>P13*Тохиргоо!$B$6</f>
        <v/>
      </c>
      <c r="R13" s="5">
        <f>P13+Q13</f>
        <v/>
      </c>
      <c r="S13" s="5" t="n">
        <v>54293000</v>
      </c>
      <c r="T13" s="3" t="n">
        <v>52060000</v>
      </c>
      <c r="U13" s="3" t="n">
        <v>56453000</v>
      </c>
      <c r="V13" s="3">
        <f>S13-R13</f>
        <v/>
      </c>
      <c r="W13" s="14">
        <f>V13/R13</f>
        <v/>
      </c>
      <c r="X13" s="3" t="inlineStr">
        <is>
          <t>Өгөгдөл цөөн (8 зар)</t>
        </is>
      </c>
      <c r="Y13" s="3" t="inlineStr">
        <is>
          <t>гүйлт 145k +0.2%, WS +10.9%, өнгө +6.1%, оноо 4 +0.8%</t>
        </is>
      </c>
    </row>
    <row r="14">
      <c r="A14" s="2" t="inlineStr">
        <is>
          <t>9048</t>
        </is>
      </c>
      <c r="B14" s="2" t="inlineStr">
        <is>
          <t>TAA Kyushu</t>
        </is>
      </c>
      <c r="C14" s="2" t="inlineStr">
        <is>
          <t>Prius Alpha ZVW40W G</t>
        </is>
      </c>
      <c r="D14" s="2" t="n">
        <v>2011</v>
      </c>
      <c r="E14" s="3" t="n">
        <v>185000</v>
      </c>
      <c r="F14" s="3" t="n">
        <v>1800</v>
      </c>
      <c r="G14" s="2" t="inlineStr">
        <is>
          <t>Хайбрид</t>
        </is>
      </c>
      <c r="H14" s="2" t="inlineStr">
        <is>
          <t>RA</t>
        </is>
      </c>
      <c r="I14" s="2" t="inlineStr">
        <is>
          <t>сувдан цагаан</t>
        </is>
      </c>
      <c r="J14" s="3" t="n">
        <v>275000</v>
      </c>
      <c r="K14" s="4">
        <f>Тохиргоо!$B$7-D14</f>
        <v/>
      </c>
      <c r="L14" s="3">
        <f>J14+Тохиргоо!$B$4</f>
        <v/>
      </c>
      <c r="M14" s="3">
        <f>L14*Тохиргоо!$B$3</f>
        <v/>
      </c>
      <c r="N14" s="3">
        <f>Тохиргоо!$B$5</f>
        <v/>
      </c>
      <c r="O14" s="3">
        <f>IF(G14="Хайбрид",INDEX('Онцгой татвар'!$C$6:$F$10,MATCH(F14,'Онцгой татвар'!$B$6:$B$10,1),MATCH(K14,'Онцгой татвар'!$C$5:$F$5,1)),INDEX('Онцгой татвар'!$C$15:$F$19,MATCH(F14,'Онцгой татвар'!$B$15:$B$19,1),MATCH(K14,'Онцгой татвар'!$C$14:$F$14,1)))</f>
        <v/>
      </c>
      <c r="P14" s="3">
        <f>M14+N14+O14</f>
        <v/>
      </c>
      <c r="Q14" s="3">
        <f>P14*Тохиргоо!$B$6</f>
        <v/>
      </c>
      <c r="R14" s="5">
        <f>P14+Q14</f>
        <v/>
      </c>
      <c r="S14" s="5" t="n">
        <v>27087000</v>
      </c>
      <c r="T14" s="3" t="n">
        <v>25973000</v>
      </c>
      <c r="U14" s="3" t="n">
        <v>28165000</v>
      </c>
      <c r="V14" s="3">
        <f>S14-R14</f>
        <v/>
      </c>
      <c r="W14" s="14">
        <f>V14/R14</f>
        <v/>
      </c>
      <c r="X14" s="3" t="inlineStr">
        <is>
          <t>Дунд (18 зар)</t>
        </is>
      </c>
      <c r="Y14" s="3" t="inlineStr">
        <is>
          <t>7 суудал +3.6%, гүйлт 185k -0.8%, G +1.1%, өнгө +6.1%</t>
        </is>
      </c>
    </row>
  </sheetData>
  <autoFilter ref="A1:Y14"/>
  <conditionalFormatting sqref="V2:V1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W2:W14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7" customWidth="1" min="4" max="4"/>
    <col width="11" customWidth="1" min="5" max="5"/>
    <col width="11" customWidth="1" min="6" max="6"/>
    <col width="9" customWidth="1" min="7" max="7"/>
    <col width="7" customWidth="1" min="8" max="8"/>
    <col width="14" customWidth="1" min="9" max="9"/>
    <col width="15" customWidth="1" min="10" max="10"/>
    <col width="15" customWidth="1" min="11" max="11"/>
    <col width="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40" customWidth="1" min="26" max="26"/>
  </cols>
  <sheetData>
    <row r="1" ht="32" customHeight="1">
      <c r="A1" s="1" t="inlineStr">
        <is>
          <t>Лот</t>
        </is>
      </c>
      <c r="B1" s="1" t="inlineStr">
        <is>
          <t>Аукцион</t>
        </is>
      </c>
      <c r="C1" s="1" t="inlineStr">
        <is>
          <t>Загвар</t>
        </is>
      </c>
      <c r="D1" s="1" t="inlineStr">
        <is>
          <t>Он</t>
        </is>
      </c>
      <c r="E1" s="1" t="inlineStr">
        <is>
          <t>Гүйлт, км</t>
        </is>
      </c>
      <c r="F1" s="1" t="inlineStr">
        <is>
          <t>Хөдөлгүүр, cc</t>
        </is>
      </c>
      <c r="G1" s="1" t="inlineStr">
        <is>
          <t>Төрөл</t>
        </is>
      </c>
      <c r="H1" s="1" t="inlineStr">
        <is>
          <t>Оноо</t>
        </is>
      </c>
      <c r="I1" s="1" t="inlineStr">
        <is>
          <t>Өнгө</t>
        </is>
      </c>
      <c r="J1" s="1" t="inlineStr">
        <is>
          <t>Миний үнэ, ¥</t>
        </is>
      </c>
      <c r="K1" s="1" t="inlineStr">
        <is>
          <t>Зарагдсан үнэ, ¥</t>
        </is>
      </c>
      <c r="L1" s="1" t="inlineStr">
        <is>
          <t>Нас</t>
        </is>
      </c>
      <c r="M1" s="1" t="inlineStr">
        <is>
          <t>Үнэ + 100,000¥</t>
        </is>
      </c>
      <c r="N1" s="1" t="inlineStr">
        <is>
          <t>Төгрөгөөр</t>
        </is>
      </c>
      <c r="O1" s="1" t="inlineStr">
        <is>
          <t>Ачилт тээвэр</t>
        </is>
      </c>
      <c r="P1" s="1" t="inlineStr">
        <is>
          <t>Онцгой татвар</t>
        </is>
      </c>
      <c r="Q1" s="1" t="inlineStr">
        <is>
          <t>НӨАТ-гүй дүн</t>
        </is>
      </c>
      <c r="R1" s="1" t="inlineStr">
        <is>
          <t>НӨАТ</t>
        </is>
      </c>
      <c r="S1" s="1" t="inlineStr">
        <is>
          <t>Монголд буух үнэ, ₮</t>
        </is>
      </c>
      <c r="T1" s="13" t="inlineStr">
        <is>
          <t>Монголд зарагдах үнэ (загвар), ₮</t>
        </is>
      </c>
      <c r="U1" s="13" t="inlineStr">
        <is>
          <t>Доод (25%), ₮</t>
        </is>
      </c>
      <c r="V1" s="13" t="inlineStr">
        <is>
          <t>Дээд (75%), ₮</t>
        </is>
      </c>
      <c r="W1" s="13" t="inlineStr">
        <is>
          <t>Ашиг / алдагдал, ₮</t>
        </is>
      </c>
      <c r="X1" s="13" t="inlineStr">
        <is>
          <t>Ашгийн хувь</t>
        </is>
      </c>
      <c r="Y1" s="13" t="inlineStr">
        <is>
          <t>Загварын итгэл</t>
        </is>
      </c>
      <c r="Z1" s="13" t="inlineStr">
        <is>
          <t>Загварт тооцсон шинж</t>
        </is>
      </c>
    </row>
    <row r="2">
      <c r="A2" s="2" t="inlineStr">
        <is>
          <t>55383</t>
        </is>
      </c>
      <c r="B2" s="2" t="inlineStr">
        <is>
          <t>Honda Nagoya</t>
        </is>
      </c>
      <c r="C2" s="2" t="inlineStr">
        <is>
          <t>Prius Alpha ZVW41W G</t>
        </is>
      </c>
      <c r="D2" s="2" t="n">
        <v>2014</v>
      </c>
      <c r="E2" s="3" t="n">
        <v>98000</v>
      </c>
      <c r="F2" s="3" t="n">
        <v>1800</v>
      </c>
      <c r="G2" s="2" t="inlineStr">
        <is>
          <t>Хайбрид</t>
        </is>
      </c>
      <c r="H2" s="2" t="inlineStr">
        <is>
          <t>R</t>
        </is>
      </c>
      <c r="I2" s="2" t="inlineStr">
        <is>
          <t>мөнгөлөг</t>
        </is>
      </c>
      <c r="J2" s="3" t="n">
        <v>300000</v>
      </c>
      <c r="K2" s="3" t="n">
        <v>423000</v>
      </c>
      <c r="L2" s="4">
        <f>Тохиргоо!$B$7-D2</f>
        <v/>
      </c>
      <c r="M2" s="3">
        <f>K2+Тохиргоо!$B$4</f>
        <v/>
      </c>
      <c r="N2" s="3">
        <f>M2*Тохиргоо!$B$3</f>
        <v/>
      </c>
      <c r="O2" s="3">
        <f>Тохиргоо!$B$5</f>
        <v/>
      </c>
      <c r="P2" s="3">
        <f>IF(G2="Хайбрид",INDEX('Онцгой татвар'!$C$6:$F$10,MATCH(F2,'Онцгой татвар'!$B$6:$B$10,1),MATCH(L2,'Онцгой татвар'!$C$5:$F$5,1)),INDEX('Онцгой татвар'!$C$15:$F$19,MATCH(F2,'Онцгой татвар'!$B$15:$B$19,1),MATCH(L2,'Онцгой татвар'!$C$14:$F$14,1)))</f>
        <v/>
      </c>
      <c r="Q2" s="3">
        <f>N2+O2+P2</f>
        <v/>
      </c>
      <c r="R2" s="3">
        <f>Q2*Тохиргоо!$B$6</f>
        <v/>
      </c>
      <c r="S2" s="5">
        <f>Q2+R2</f>
        <v/>
      </c>
      <c r="T2" s="5" t="n">
        <v>30251000</v>
      </c>
      <c r="U2" s="3" t="n">
        <v>29006000</v>
      </c>
      <c r="V2" s="3" t="n">
        <v>31454000</v>
      </c>
      <c r="W2" s="3">
        <f>T2-S2</f>
        <v/>
      </c>
      <c r="X2" s="14">
        <f>W2/S2</f>
        <v/>
      </c>
      <c r="Y2" s="3" t="inlineStr">
        <is>
          <t>Дунд (17 зар)</t>
        </is>
      </c>
      <c r="Z2" s="3" t="inlineStr">
        <is>
          <t>гүйлт 98k +1.5%, G +1.1%, өнгө +7.1%</t>
        </is>
      </c>
    </row>
    <row r="3">
      <c r="A3" s="2" t="inlineStr">
        <is>
          <t>20287</t>
        </is>
      </c>
      <c r="B3" s="2" t="inlineStr">
        <is>
          <t>Honda Tokyo</t>
        </is>
      </c>
      <c r="C3" s="2" t="inlineStr">
        <is>
          <t>Prius Alpha ZVW41W S Tune Black</t>
        </is>
      </c>
      <c r="D3" s="2" t="n">
        <v>2014</v>
      </c>
      <c r="E3" s="3" t="n">
        <v>140000</v>
      </c>
      <c r="F3" s="3" t="n">
        <v>1800</v>
      </c>
      <c r="G3" s="2" t="inlineStr">
        <is>
          <t>Хайбрид</t>
        </is>
      </c>
      <c r="H3" s="2" t="inlineStr">
        <is>
          <t>R</t>
        </is>
      </c>
      <c r="I3" s="2" t="inlineStr">
        <is>
          <t>хар</t>
        </is>
      </c>
      <c r="J3" s="3" t="n">
        <v>220000</v>
      </c>
      <c r="K3" s="3" t="n">
        <v>311000</v>
      </c>
      <c r="L3" s="4">
        <f>Тохиргоо!$B$7-D3</f>
        <v/>
      </c>
      <c r="M3" s="3">
        <f>K3+Тохиргоо!$B$4</f>
        <v/>
      </c>
      <c r="N3" s="3">
        <f>M3*Тохиргоо!$B$3</f>
        <v/>
      </c>
      <c r="O3" s="3">
        <f>Тохиргоо!$B$5</f>
        <v/>
      </c>
      <c r="P3" s="3">
        <f>IF(G3="Хайбрид",INDEX('Онцгой татвар'!$C$6:$F$10,MATCH(F3,'Онцгой татвар'!$B$6:$B$10,1),MATCH(L3,'Онцгой татвар'!$C$5:$F$5,1)),INDEX('Онцгой татвар'!$C$15:$F$19,MATCH(F3,'Онцгой татвар'!$B$15:$B$19,1),MATCH(L3,'Онцгой татвар'!$C$14:$F$14,1)))</f>
        <v/>
      </c>
      <c r="Q3" s="3">
        <f>N3+O3+P3</f>
        <v/>
      </c>
      <c r="R3" s="3">
        <f>Q3*Тохиргоо!$B$6</f>
        <v/>
      </c>
      <c r="S3" s="5">
        <f>Q3+R3</f>
        <v/>
      </c>
      <c r="T3" s="5" t="n">
        <v>27823000</v>
      </c>
      <c r="U3" s="3" t="n">
        <v>26679000</v>
      </c>
      <c r="V3" s="3" t="n">
        <v>28930000</v>
      </c>
      <c r="W3" s="3">
        <f>T3-S3</f>
        <v/>
      </c>
      <c r="X3" s="14">
        <f>W3/S3</f>
        <v/>
      </c>
      <c r="Y3" s="3" t="inlineStr">
        <is>
          <t>Дунд (17 зар)</t>
        </is>
      </c>
      <c r="Z3" s="3" t="inlineStr">
        <is>
          <t>гүйлт 140k +0.3%, S Tune Black +0.8%</t>
        </is>
      </c>
    </row>
    <row r="4">
      <c r="A4" s="2" t="inlineStr">
        <is>
          <t>40063</t>
        </is>
      </c>
      <c r="B4" s="2" t="inlineStr">
        <is>
          <t>Honda Sendai</t>
        </is>
      </c>
      <c r="C4" s="2" t="inlineStr">
        <is>
          <t>Prius Alpha ZVW41W S Tune Black</t>
        </is>
      </c>
      <c r="D4" s="2" t="n">
        <v>2013</v>
      </c>
      <c r="E4" s="3" t="n">
        <v>163000</v>
      </c>
      <c r="F4" s="3" t="n">
        <v>1800</v>
      </c>
      <c r="G4" s="2" t="inlineStr">
        <is>
          <t>Хайбрид</t>
        </is>
      </c>
      <c r="H4" s="2" t="inlineStr">
        <is>
          <t>3.5</t>
        </is>
      </c>
      <c r="I4" s="2" t="inlineStr">
        <is>
          <t>сувдан цагаан</t>
        </is>
      </c>
      <c r="J4" s="3" t="n">
        <v>285000</v>
      </c>
      <c r="K4" s="3" t="n">
        <v>365000</v>
      </c>
      <c r="L4" s="4">
        <f>Тохиргоо!$B$7-D4</f>
        <v/>
      </c>
      <c r="M4" s="3">
        <f>K4+Тохиргоо!$B$4</f>
        <v/>
      </c>
      <c r="N4" s="3">
        <f>M4*Тохиргоо!$B$3</f>
        <v/>
      </c>
      <c r="O4" s="3">
        <f>Тохиргоо!$B$5</f>
        <v/>
      </c>
      <c r="P4" s="3">
        <f>IF(G4="Хайбрид",INDEX('Онцгой татвар'!$C$6:$F$10,MATCH(F4,'Онцгой татвар'!$B$6:$B$10,1),MATCH(L4,'Онцгой татвар'!$C$5:$F$5,1)),INDEX('Онцгой татвар'!$C$15:$F$19,MATCH(F4,'Онцгой татвар'!$B$15:$B$19,1),MATCH(L4,'Онцгой татвар'!$C$14:$F$14,1)))</f>
        <v/>
      </c>
      <c r="Q4" s="3">
        <f>N4+O4+P4</f>
        <v/>
      </c>
      <c r="R4" s="3">
        <f>Q4*Тохиргоо!$B$6</f>
        <v/>
      </c>
      <c r="S4" s="5">
        <f>Q4+R4</f>
        <v/>
      </c>
      <c r="T4" s="5" t="n">
        <v>26726000</v>
      </c>
      <c r="U4" s="3" t="n">
        <v>25627000</v>
      </c>
      <c r="V4" s="3" t="n">
        <v>27789000</v>
      </c>
      <c r="W4" s="3">
        <f>T4-S4</f>
        <v/>
      </c>
      <c r="X4" s="14">
        <f>W4/S4</f>
        <v/>
      </c>
      <c r="Y4" s="3" t="inlineStr">
        <is>
          <t>Найдвартай (40 зар)</t>
        </is>
      </c>
      <c r="Z4" s="3" t="inlineStr">
        <is>
          <t>гүйлт 163k -0.4%, S Tune Black +0.8%, өнгө +6.1%, оноо 3.5 -1.2%</t>
        </is>
      </c>
    </row>
    <row r="5">
      <c r="A5" s="2" t="inlineStr">
        <is>
          <t>7045</t>
        </is>
      </c>
      <c r="B5" s="2" t="inlineStr">
        <is>
          <t>JU Tokyo</t>
        </is>
      </c>
      <c r="C5" s="2" t="inlineStr">
        <is>
          <t>Prius Alpha ZVW41W G Touring</t>
        </is>
      </c>
      <c r="D5" s="2" t="n">
        <v>2014</v>
      </c>
      <c r="E5" s="3" t="n">
        <v>119000</v>
      </c>
      <c r="F5" s="3" t="n">
        <v>1800</v>
      </c>
      <c r="G5" s="2" t="inlineStr">
        <is>
          <t>Хайбрид</t>
        </is>
      </c>
      <c r="H5" s="2" t="inlineStr">
        <is>
          <t>3.5</t>
        </is>
      </c>
      <c r="I5" s="2" t="inlineStr">
        <is>
          <t>хар</t>
        </is>
      </c>
      <c r="J5" s="3" t="n">
        <v>280000</v>
      </c>
      <c r="K5" s="3" t="n">
        <v>450000</v>
      </c>
      <c r="L5" s="4">
        <f>Тохиргоо!$B$7-D5</f>
        <v/>
      </c>
      <c r="M5" s="3">
        <f>K5+Тохиргоо!$B$4</f>
        <v/>
      </c>
      <c r="N5" s="3">
        <f>M5*Тохиргоо!$B$3</f>
        <v/>
      </c>
      <c r="O5" s="3">
        <f>Тохиргоо!$B$5</f>
        <v/>
      </c>
      <c r="P5" s="3">
        <f>IF(G5="Хайбрид",INDEX('Онцгой татвар'!$C$6:$F$10,MATCH(F5,'Онцгой татвар'!$B$6:$B$10,1),MATCH(L5,'Онцгой татвар'!$C$5:$F$5,1)),INDEX('Онцгой татвар'!$C$15:$F$19,MATCH(F5,'Онцгой татвар'!$B$15:$B$19,1),MATCH(L5,'Онцгой татвар'!$C$14:$F$14,1)))</f>
        <v/>
      </c>
      <c r="Q5" s="3">
        <f>N5+O5+P5</f>
        <v/>
      </c>
      <c r="R5" s="3">
        <f>Q5*Тохиргоо!$B$6</f>
        <v/>
      </c>
      <c r="S5" s="5">
        <f>Q5+R5</f>
        <v/>
      </c>
      <c r="T5" s="5" t="n">
        <v>28311000</v>
      </c>
      <c r="U5" s="3" t="n">
        <v>27147000</v>
      </c>
      <c r="V5" s="3" t="n">
        <v>29437000</v>
      </c>
      <c r="W5" s="3">
        <f>T5-S5</f>
        <v/>
      </c>
      <c r="X5" s="14">
        <f>W5/S5</f>
        <v/>
      </c>
      <c r="Y5" s="3" t="inlineStr">
        <is>
          <t>Дунд (17 зар)</t>
        </is>
      </c>
      <c r="Z5" s="3" t="inlineStr">
        <is>
          <t>гүйлт 119k +0.9%, G Touring +3.2%, оноо 3.5 -1.2%</t>
        </is>
      </c>
    </row>
    <row r="6">
      <c r="A6" s="2" t="inlineStr">
        <is>
          <t>55070</t>
        </is>
      </c>
      <c r="B6" s="2" t="inlineStr">
        <is>
          <t>Honda Nagoya</t>
        </is>
      </c>
      <c r="C6" s="2" t="inlineStr">
        <is>
          <t>Prius Alpha ZVW41W S</t>
        </is>
      </c>
      <c r="D6" s="2" t="n">
        <v>2012</v>
      </c>
      <c r="E6" s="3" t="n">
        <v>100000</v>
      </c>
      <c r="F6" s="3" t="n">
        <v>1800</v>
      </c>
      <c r="G6" s="2" t="inlineStr">
        <is>
          <t>Хайбрид</t>
        </is>
      </c>
      <c r="H6" s="2" t="inlineStr">
        <is>
          <t>4</t>
        </is>
      </c>
      <c r="I6" s="2" t="inlineStr">
        <is>
          <t>сувдан цагаан</t>
        </is>
      </c>
      <c r="J6" s="3" t="n">
        <v>301000</v>
      </c>
      <c r="K6" s="3" t="n">
        <v>443000</v>
      </c>
      <c r="L6" s="4">
        <f>Тохиргоо!$B$7-D6</f>
        <v/>
      </c>
      <c r="M6" s="3">
        <f>K6+Тохиргоо!$B$4</f>
        <v/>
      </c>
      <c r="N6" s="3">
        <f>M6*Тохиргоо!$B$3</f>
        <v/>
      </c>
      <c r="O6" s="3">
        <f>Тохиргоо!$B$5</f>
        <v/>
      </c>
      <c r="P6" s="3">
        <f>IF(G6="Хайбрид",INDEX('Онцгой татвар'!$C$6:$F$10,MATCH(F6,'Онцгой татвар'!$B$6:$B$10,1),MATCH(L6,'Онцгой татвар'!$C$5:$F$5,1)),INDEX('Онцгой татвар'!$C$15:$F$19,MATCH(F6,'Онцгой татвар'!$B$15:$B$19,1),MATCH(L6,'Онцгой татвар'!$C$14:$F$14,1)))</f>
        <v/>
      </c>
      <c r="Q6" s="3">
        <f>N6+O6+P6</f>
        <v/>
      </c>
      <c r="R6" s="3">
        <f>Q6*Тохиргоо!$B$6</f>
        <v/>
      </c>
      <c r="S6" s="5">
        <f>Q6+R6</f>
        <v/>
      </c>
      <c r="T6" s="5" t="n">
        <v>26516000</v>
      </c>
      <c r="U6" s="3" t="n">
        <v>25425000</v>
      </c>
      <c r="V6" s="3" t="n">
        <v>27570000</v>
      </c>
      <c r="W6" s="3">
        <f>T6-S6</f>
        <v/>
      </c>
      <c r="X6" s="14">
        <f>W6/S6</f>
        <v/>
      </c>
      <c r="Y6" s="3" t="inlineStr">
        <is>
          <t>Найдвартай (47 зар)</t>
        </is>
      </c>
      <c r="Z6" s="3" t="inlineStr">
        <is>
          <t>гүйлт 100k +1.1%, өнгө +6.1%, оноо 4 +0.8%</t>
        </is>
      </c>
    </row>
    <row r="7">
      <c r="A7" s="2" t="inlineStr">
        <is>
          <t>20017</t>
        </is>
      </c>
      <c r="B7" s="2" t="inlineStr">
        <is>
          <t>Honda Tokyo</t>
        </is>
      </c>
      <c r="C7" s="2" t="inlineStr">
        <is>
          <t>Prius Alpha ZVW41W S Touring</t>
        </is>
      </c>
      <c r="D7" s="2" t="n">
        <v>2012</v>
      </c>
      <c r="E7" s="3" t="n">
        <v>177000</v>
      </c>
      <c r="F7" s="3" t="n">
        <v>1800</v>
      </c>
      <c r="G7" s="2" t="inlineStr">
        <is>
          <t>Хайбрид</t>
        </is>
      </c>
      <c r="H7" s="2" t="inlineStr">
        <is>
          <t>3.5</t>
        </is>
      </c>
      <c r="I7" s="2" t="inlineStr">
        <is>
          <t>цагаан</t>
        </is>
      </c>
      <c r="J7" s="3" t="n">
        <v>290000</v>
      </c>
      <c r="K7" s="3" t="n">
        <v>410000</v>
      </c>
      <c r="L7" s="4">
        <f>Тохиргоо!$B$7-D7</f>
        <v/>
      </c>
      <c r="M7" s="3">
        <f>K7+Тохиргоо!$B$4</f>
        <v/>
      </c>
      <c r="N7" s="3">
        <f>M7*Тохиргоо!$B$3</f>
        <v/>
      </c>
      <c r="O7" s="3">
        <f>Тохиргоо!$B$5</f>
        <v/>
      </c>
      <c r="P7" s="3">
        <f>IF(G7="Хайбрид",INDEX('Онцгой татвар'!$C$6:$F$10,MATCH(F7,'Онцгой татвар'!$B$6:$B$10,1),MATCH(L7,'Онцгой татвар'!$C$5:$F$5,1)),INDEX('Онцгой татвар'!$C$15:$F$19,MATCH(F7,'Онцгой татвар'!$B$15:$B$19,1),MATCH(L7,'Онцгой татвар'!$C$14:$F$14,1)))</f>
        <v/>
      </c>
      <c r="Q7" s="3">
        <f>N7+O7+P7</f>
        <v/>
      </c>
      <c r="R7" s="3">
        <f>Q7*Тохиргоо!$B$6</f>
        <v/>
      </c>
      <c r="S7" s="5">
        <f>Q7+R7</f>
        <v/>
      </c>
      <c r="T7" s="5" t="n">
        <v>25937000</v>
      </c>
      <c r="U7" s="3" t="n">
        <v>24870000</v>
      </c>
      <c r="V7" s="3" t="n">
        <v>26968000</v>
      </c>
      <c r="W7" s="3">
        <f>T7-S7</f>
        <v/>
      </c>
      <c r="X7" s="14">
        <f>W7/S7</f>
        <v/>
      </c>
      <c r="Y7" s="3" t="inlineStr">
        <is>
          <t>Найдвартай (47 зар)</t>
        </is>
      </c>
      <c r="Z7" s="3" t="inlineStr">
        <is>
          <t>гүйлт 177k -0.7%, S Touring +4.0%, өнгө +3.8%, оноо 3.5 -1.2%</t>
        </is>
      </c>
    </row>
    <row r="8">
      <c r="A8" s="2" t="inlineStr">
        <is>
          <t>70032</t>
        </is>
      </c>
      <c r="B8" s="2" t="inlineStr">
        <is>
          <t>Honda Kansai</t>
        </is>
      </c>
      <c r="C8" s="2" t="inlineStr">
        <is>
          <t>Prius Alpha ZVW41W G</t>
        </is>
      </c>
      <c r="D8" s="2" t="n">
        <v>2013</v>
      </c>
      <c r="E8" s="3" t="n">
        <v>107000</v>
      </c>
      <c r="F8" s="3" t="n">
        <v>1800</v>
      </c>
      <c r="G8" s="2" t="inlineStr">
        <is>
          <t>Хайбрид</t>
        </is>
      </c>
      <c r="H8" s="2" t="inlineStr">
        <is>
          <t>3</t>
        </is>
      </c>
      <c r="I8" s="2" t="inlineStr">
        <is>
          <t>мөнгөлөг</t>
        </is>
      </c>
      <c r="J8" s="3" t="n">
        <v>280000</v>
      </c>
      <c r="K8" s="3" t="n">
        <v>331000</v>
      </c>
      <c r="L8" s="4">
        <f>Тохиргоо!$B$7-D8</f>
        <v/>
      </c>
      <c r="M8" s="3">
        <f>K8+Тохиргоо!$B$4</f>
        <v/>
      </c>
      <c r="N8" s="3">
        <f>M8*Тохиргоо!$B$3</f>
        <v/>
      </c>
      <c r="O8" s="3">
        <f>Тохиргоо!$B$5</f>
        <v/>
      </c>
      <c r="P8" s="3">
        <f>IF(G8="Хайбрид",INDEX('Онцгой татвар'!$C$6:$F$10,MATCH(F8,'Онцгой татвар'!$B$6:$B$10,1),MATCH(L8,'Онцгой татвар'!$C$5:$F$5,1)),INDEX('Онцгой татвар'!$C$15:$F$19,MATCH(F8,'Онцгой татвар'!$B$15:$B$19,1),MATCH(L8,'Онцгой татвар'!$C$14:$F$14,1)))</f>
        <v/>
      </c>
      <c r="Q8" s="3">
        <f>N8+O8+P8</f>
        <v/>
      </c>
      <c r="R8" s="3">
        <f>Q8*Тохиргоо!$B$6</f>
        <v/>
      </c>
      <c r="S8" s="5">
        <f>Q8+R8</f>
        <v/>
      </c>
      <c r="T8" s="5" t="n">
        <v>26903000</v>
      </c>
      <c r="U8" s="3" t="n">
        <v>25796000</v>
      </c>
      <c r="V8" s="3" t="n">
        <v>27973000</v>
      </c>
      <c r="W8" s="3">
        <f>T8-S8</f>
        <v/>
      </c>
      <c r="X8" s="14">
        <f>W8/S8</f>
        <v/>
      </c>
      <c r="Y8" s="3" t="inlineStr">
        <is>
          <t>Найдвартай (40 зар)</t>
        </is>
      </c>
      <c r="Z8" s="3" t="inlineStr">
        <is>
          <t>гүйлт 107k +1.1%, G +1.1%, өнгө +7.1%, оноо 3 -3.3%</t>
        </is>
      </c>
    </row>
    <row r="9">
      <c r="A9" s="2" t="inlineStr">
        <is>
          <t>60009</t>
        </is>
      </c>
      <c r="B9" s="2" t="inlineStr">
        <is>
          <t>Honda Kyushu</t>
        </is>
      </c>
      <c r="C9" s="2" t="inlineStr">
        <is>
          <t>Prius Alpha ZVW41W S Tune Black</t>
        </is>
      </c>
      <c r="D9" s="2" t="n">
        <v>2013</v>
      </c>
      <c r="E9" s="3" t="n">
        <v>152000</v>
      </c>
      <c r="F9" s="3" t="n">
        <v>1800</v>
      </c>
      <c r="G9" s="2" t="inlineStr">
        <is>
          <t>Хайбрид</t>
        </is>
      </c>
      <c r="H9" s="2" t="inlineStr">
        <is>
          <t>3.5</t>
        </is>
      </c>
      <c r="I9" s="2" t="inlineStr">
        <is>
          <t>сувдан цагаан</t>
        </is>
      </c>
      <c r="J9" s="3" t="n">
        <v>285000</v>
      </c>
      <c r="K9" s="3" t="n">
        <v>442000</v>
      </c>
      <c r="L9" s="4">
        <f>Тохиргоо!$B$7-D9</f>
        <v/>
      </c>
      <c r="M9" s="3">
        <f>K9+Тохиргоо!$B$4</f>
        <v/>
      </c>
      <c r="N9" s="3">
        <f>M9*Тохиргоо!$B$3</f>
        <v/>
      </c>
      <c r="O9" s="3">
        <f>Тохиргоо!$B$5</f>
        <v/>
      </c>
      <c r="P9" s="3">
        <f>IF(G9="Хайбрид",INDEX('Онцгой татвар'!$C$6:$F$10,MATCH(F9,'Онцгой татвар'!$B$6:$B$10,1),MATCH(L9,'Онцгой татвар'!$C$5:$F$5,1)),INDEX('Онцгой татвар'!$C$15:$F$19,MATCH(F9,'Онцгой татвар'!$B$15:$B$19,1),MATCH(L9,'Онцгой татвар'!$C$14:$F$14,1)))</f>
        <v/>
      </c>
      <c r="Q9" s="3">
        <f>N9+O9+P9</f>
        <v/>
      </c>
      <c r="R9" s="3">
        <f>Q9*Тохиргоо!$B$6</f>
        <v/>
      </c>
      <c r="S9" s="5">
        <f>Q9+R9</f>
        <v/>
      </c>
      <c r="T9" s="5" t="n">
        <v>26812000</v>
      </c>
      <c r="U9" s="3" t="n">
        <v>25709000</v>
      </c>
      <c r="V9" s="3" t="n">
        <v>27879000</v>
      </c>
      <c r="W9" s="3">
        <f>T9-S9</f>
        <v/>
      </c>
      <c r="X9" s="14">
        <f>W9/S9</f>
        <v/>
      </c>
      <c r="Y9" s="3" t="inlineStr">
        <is>
          <t>Найдвартай (40 зар)</t>
        </is>
      </c>
      <c r="Z9" s="3" t="inlineStr">
        <is>
          <t>гүйлт 152k -0.1%, S Tune Black +0.8%, өнгө +6.1%, оноо 3.5 -1.2%</t>
        </is>
      </c>
    </row>
  </sheetData>
  <autoFilter ref="A1:Z9"/>
  <conditionalFormatting sqref="W2:W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X2:X9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6" t="inlineStr">
        <is>
          <t>Тооцооны тохиргоо (цэнхэр нүдийг өөрчилж болно)</t>
        </is>
      </c>
    </row>
    <row r="3">
      <c r="A3" t="inlineStr">
        <is>
          <t>Иен → төгрөг ханш (Голомт, бэлэн бус зарах, 2026-10-05)</t>
        </is>
      </c>
      <c r="B3" s="7" t="n">
        <v>23.41</v>
      </c>
    </row>
    <row r="4">
      <c r="A4" t="inlineStr">
        <is>
          <t>Машин бүрт нэмэх дүн, ¥</t>
        </is>
      </c>
      <c r="B4" s="8" t="n">
        <v>100000</v>
      </c>
    </row>
    <row r="5">
      <c r="A5" t="inlineStr">
        <is>
          <t>Ачилт тээвэр (Монгол хүртэл), ₮</t>
        </is>
      </c>
      <c r="B5" s="8" t="n">
        <v>2768000</v>
      </c>
    </row>
    <row r="6">
      <c r="A6" t="inlineStr">
        <is>
          <t>НӨАТ</t>
        </is>
      </c>
      <c r="B6" s="9" t="n">
        <v>0.155</v>
      </c>
    </row>
    <row r="7">
      <c r="A7" t="inlineStr">
        <is>
          <t>Насыг тооцох он</t>
        </is>
      </c>
      <c r="B7" s="10" t="n">
        <v>2026</v>
      </c>
    </row>
    <row r="10">
      <c r="A10" t="inlineStr">
        <is>
          <t>Томьёо: [(үнэ ¥ + 100,000¥) × ханш + ачилт + онцгой татвар] × (1 + НӨАТ)</t>
        </is>
      </c>
    </row>
    <row r="11">
      <c r="A11" t="inlineStr">
        <is>
          <t>Онцгой татварыг 'Онцгой татвар' sheet-ийн хайбрид хүснэгтээс нас (тооцох он − үйлдвэрлэсэн он), хөдөлгүүрийн багтаамжаар автоматаар авна.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6" t="inlineStr">
        <is>
          <t>Суудлын автомашины импортын онцгой татвар (шинэ хувь хэмжээ), ₮</t>
        </is>
      </c>
    </row>
    <row r="3">
      <c r="A3" s="11" t="inlineStr">
        <is>
          <t>1. Хайбрид ба газ</t>
        </is>
      </c>
    </row>
    <row r="4">
      <c r="A4" s="2" t="inlineStr">
        <is>
          <t>Хөдөлгүүр (cc)</t>
        </is>
      </c>
      <c r="B4" s="2" t="inlineStr">
        <is>
          <t>Доод хязгаар</t>
        </is>
      </c>
      <c r="C4" s="2" t="inlineStr">
        <is>
          <t>0-3 жил</t>
        </is>
      </c>
      <c r="D4" s="2" t="inlineStr">
        <is>
          <t>4-6 жил</t>
        </is>
      </c>
      <c r="E4" s="2" t="inlineStr">
        <is>
          <t>7-9 жил</t>
        </is>
      </c>
      <c r="F4" s="2" t="inlineStr">
        <is>
          <t>10-с дээш</t>
        </is>
      </c>
    </row>
    <row r="5">
      <c r="A5" s="2" t="n"/>
      <c r="B5" s="2" t="inlineStr">
        <is>
          <t>нас ≥</t>
        </is>
      </c>
      <c r="C5" s="2" t="n">
        <v>0</v>
      </c>
      <c r="D5" s="2" t="n">
        <v>4</v>
      </c>
      <c r="E5" s="2" t="n">
        <v>7</v>
      </c>
      <c r="F5" s="2" t="n">
        <v>10</v>
      </c>
    </row>
    <row r="6">
      <c r="A6" s="2" t="inlineStr">
        <is>
          <t>1-1500</t>
        </is>
      </c>
      <c r="B6" s="2" t="n">
        <v>1</v>
      </c>
      <c r="C6" s="12" t="n">
        <v>375000</v>
      </c>
      <c r="D6" s="12" t="n">
        <v>800000</v>
      </c>
      <c r="E6" s="12" t="n">
        <v>1675000</v>
      </c>
      <c r="F6" s="12" t="n">
        <v>5000000</v>
      </c>
    </row>
    <row r="7">
      <c r="A7" s="2" t="inlineStr">
        <is>
          <t>1501-2500</t>
        </is>
      </c>
      <c r="B7" s="2" t="n">
        <v>1501</v>
      </c>
      <c r="C7" s="12" t="n">
        <v>1150000</v>
      </c>
      <c r="D7" s="12" t="n">
        <v>1600000</v>
      </c>
      <c r="E7" s="12" t="n">
        <v>2500000</v>
      </c>
      <c r="F7" s="12" t="n">
        <v>5850000</v>
      </c>
    </row>
    <row r="8">
      <c r="A8" s="2" t="inlineStr">
        <is>
          <t>2501-3500</t>
        </is>
      </c>
      <c r="B8" s="2" t="n">
        <v>2501</v>
      </c>
      <c r="C8" s="12" t="n">
        <v>1525000</v>
      </c>
      <c r="D8" s="12" t="n">
        <v>2000000</v>
      </c>
      <c r="E8" s="12" t="n">
        <v>3350000</v>
      </c>
      <c r="F8" s="12" t="n">
        <v>6675000</v>
      </c>
    </row>
    <row r="9">
      <c r="A9" s="2" t="inlineStr">
        <is>
          <t>3501-4500</t>
        </is>
      </c>
      <c r="B9" s="2" t="n">
        <v>3501</v>
      </c>
      <c r="C9" s="12" t="n">
        <v>3425375</v>
      </c>
      <c r="D9" s="12" t="n">
        <v>4000000</v>
      </c>
      <c r="E9" s="12" t="n">
        <v>5425000</v>
      </c>
      <c r="F9" s="12" t="n">
        <v>8750000</v>
      </c>
    </row>
    <row r="10">
      <c r="A10" s="2" t="inlineStr">
        <is>
          <t>4501-с дээш</t>
        </is>
      </c>
      <c r="B10" s="2" t="n">
        <v>4501</v>
      </c>
      <c r="C10" s="12" t="n">
        <v>7105000</v>
      </c>
      <c r="D10" s="12" t="n">
        <v>13600000</v>
      </c>
      <c r="E10" s="12" t="n">
        <v>19575000</v>
      </c>
      <c r="F10" s="12" t="n">
        <v>32987500</v>
      </c>
    </row>
    <row r="12">
      <c r="A12" s="11" t="inlineStr">
        <is>
          <t>2. Энгийн бензин, дизель</t>
        </is>
      </c>
    </row>
    <row r="13">
      <c r="A13" s="2" t="inlineStr">
        <is>
          <t>Хөдөлгүүр (cc)</t>
        </is>
      </c>
      <c r="B13" s="2" t="inlineStr">
        <is>
          <t>Доод хязгаар</t>
        </is>
      </c>
      <c r="C13" s="2" t="inlineStr">
        <is>
          <t>0-3 жил</t>
        </is>
      </c>
      <c r="D13" s="2" t="inlineStr">
        <is>
          <t>4-6 жил</t>
        </is>
      </c>
      <c r="E13" s="2" t="inlineStr">
        <is>
          <t>7-9 жил</t>
        </is>
      </c>
      <c r="F13" s="2" t="inlineStr">
        <is>
          <t>10-с дээш</t>
        </is>
      </c>
    </row>
    <row r="14">
      <c r="A14" s="2" t="n"/>
      <c r="B14" s="2" t="inlineStr">
        <is>
          <t>нас ≥</t>
        </is>
      </c>
      <c r="C14" s="2" t="n">
        <v>0</v>
      </c>
      <c r="D14" s="2" t="n">
        <v>4</v>
      </c>
      <c r="E14" s="2" t="n">
        <v>7</v>
      </c>
      <c r="F14" s="2" t="n">
        <v>10</v>
      </c>
    </row>
    <row r="15">
      <c r="A15" s="2" t="inlineStr">
        <is>
          <t>1-1500</t>
        </is>
      </c>
      <c r="B15" s="2" t="n">
        <v>1</v>
      </c>
      <c r="C15" s="12" t="n">
        <v>750000</v>
      </c>
      <c r="D15" s="12" t="n">
        <v>1600000</v>
      </c>
      <c r="E15" s="12" t="n">
        <v>3350000</v>
      </c>
      <c r="F15" s="12" t="n">
        <v>10000000</v>
      </c>
    </row>
    <row r="16">
      <c r="A16" s="2" t="inlineStr">
        <is>
          <t>1501-2500</t>
        </is>
      </c>
      <c r="B16" s="2" t="n">
        <v>1501</v>
      </c>
      <c r="C16" s="12" t="n">
        <v>2300000</v>
      </c>
      <c r="D16" s="12" t="n">
        <v>3200000</v>
      </c>
      <c r="E16" s="12" t="n">
        <v>5000000</v>
      </c>
      <c r="F16" s="12" t="n">
        <v>11700000</v>
      </c>
    </row>
    <row r="17">
      <c r="A17" s="2" t="inlineStr">
        <is>
          <t>2501-3500</t>
        </is>
      </c>
      <c r="B17" s="2" t="n">
        <v>2501</v>
      </c>
      <c r="C17" s="12" t="n">
        <v>3050000</v>
      </c>
      <c r="D17" s="12" t="n">
        <v>4000000</v>
      </c>
      <c r="E17" s="12" t="n">
        <v>6700000</v>
      </c>
      <c r="F17" s="12" t="n">
        <v>13350000</v>
      </c>
    </row>
    <row r="18">
      <c r="A18" s="2" t="inlineStr">
        <is>
          <t>3501-4500</t>
        </is>
      </c>
      <c r="B18" s="2" t="n">
        <v>3501</v>
      </c>
      <c r="C18" s="12" t="n">
        <v>6850750</v>
      </c>
      <c r="D18" s="12" t="n">
        <v>8000000</v>
      </c>
      <c r="E18" s="12" t="n">
        <v>10850000</v>
      </c>
      <c r="F18" s="12" t="n">
        <v>17500000</v>
      </c>
    </row>
    <row r="19">
      <c r="A19" s="2" t="inlineStr">
        <is>
          <t>4501-с дээш</t>
        </is>
      </c>
      <c r="B19" s="2" t="n">
        <v>4501</v>
      </c>
      <c r="C19" s="12" t="n">
        <v>14210000</v>
      </c>
      <c r="D19" s="12" t="n">
        <v>27200000</v>
      </c>
      <c r="E19" s="12" t="n">
        <v>39150000</v>
      </c>
      <c r="F19" s="12" t="n">
        <v>65975000</v>
      </c>
    </row>
    <row r="21">
      <c r="A21" t="inlineStr">
        <is>
          <t>Эх сурвалж: 'Суудлын автомашины импортын онцгой татварт оруулахаар өргөн барьсан өөрчлөлтийн хувь хэмжээ' хүснэгтийн 'Шинэ төсөл' багана.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Монголд зарагдах үнийг хэрхэн тооцсон бэ</t>
        </is>
      </c>
    </row>
    <row r="2">
      <c r="A2" t="inlineStr"/>
    </row>
    <row r="3">
      <c r="A3" t="inlineStr">
        <is>
          <t>Загвар: car-valuation үнэлгээний систем v6 (models/model_2026-10-04_v6_2026fresh.json, unelgee.html-тэй ижил томьёо).</t>
        </is>
      </c>
    </row>
    <row r="4">
      <c r="A4" t="inlineStr">
        <is>
          <t>Өгөгдөл: unegui.mn-ийн 2026 онд орж ирсэн, дугаар аваагүй 539 Toyota зар (2026-10-01, 10-04-ний татлага).</t>
        </is>
      </c>
    </row>
    <row r="5">
      <c r="A5" t="inlineStr">
        <is>
          <t>Дундаж алдаа 5.1% (Prius α 4.6%, Prius 50 4.4%, Camry 9.2%). Зарын 76% нь ±10%-д багтдаг.</t>
        </is>
      </c>
    </row>
    <row r="6">
      <c r="A6" t="inlineStr">
        <is>
          <t>Үнэ нь зарын үнэ (асуусан үнэ). Бодит зарагдах үнэ ихэвчлэн арай бага байдаг.</t>
        </is>
      </c>
    </row>
    <row r="7">
      <c r="A7" t="inlineStr"/>
    </row>
    <row r="8">
      <c r="A8" t="inlineStr">
        <is>
          <t>Тооцсон шинж: загвар (Prius 40 = 7 суудал, 41, 50, 51, Camry), он, гүйлт (нийт ба жилд явсан км), комплектац, өнгө, Японы аукционы оноо.</t>
        </is>
      </c>
    </row>
    <row r="9">
      <c r="A9" t="inlineStr">
        <is>
          <t>Аукционы оноо R/RA (засвартай) бол загварт оноо оруулаагүй. Ийм машин Монголд илүү хямд зарагдах магадлалтай.</t>
        </is>
      </c>
    </row>
    <row r="10">
      <c r="A10" t="inlineStr">
        <is>
          <t>Мөнгөлөг өнгө загварт тусдаа байхгүй тул 'бусад өнгө' гэж тооцсон.</t>
        </is>
      </c>
    </row>
    <row r="11">
      <c r="A11" t="inlineStr">
        <is>
          <t>Camry-г 2.5 хайбрид гэж тооцсон.</t>
        </is>
      </c>
    </row>
    <row r="12">
      <c r="A12" t="inlineStr"/>
    </row>
    <row r="13">
      <c r="A13" t="inlineStr">
        <is>
          <t>Доод/Дээд = зарын 50% нь энэ хооронд байна. Ашиг = загварын үнэ − Монголд буух үнэ (татвар, ачилт, НӨАТ орсон).</t>
        </is>
      </c>
    </row>
    <row r="14">
      <c r="A14" t="inlineStr">
        <is>
          <t>Худалдааны зардал, зуучлал, бүртгэл, засварын зардлыг оруулаагүй.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2026-10-05T12:30:59Z</dcterms:created>
  <dcterms:modified xmlns:dcterms="http://purl.org/dc/terms/" xmlns:xsi="http://www.w3.org/2001/XMLSchema-instance" xsi:type="dcterms:W3CDTF">2026-10-05T12:45:51Z</dcterms:modified>
</cp:coreProperties>
</file>